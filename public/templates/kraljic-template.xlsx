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:\Meu Drive\00_PROCUREMENT GARAGE\01_PG_CONSULTING\00_PROJETO PADRONIZAÇÃO\"/>
    </mc:Choice>
  </mc:AlternateContent>
  <xr:revisionPtr revIDLastSave="0" documentId="8_{6A548285-F6EF-DB4F-AF57-F2F5C2790E3D}" xr6:coauthVersionLast="47" xr6:coauthVersionMax="47" xr10:uidLastSave="{00000000-0000-0000-0000-000000000000}"/>
  <bookViews>
    <workbookView xWindow="20370" yWindow="-120" windowWidth="24240" windowHeight="13140" xr2:uid="{00000000-000D-0000-FFFF-FFFF00000000}"/>
  </bookViews>
  <sheets>
    <sheet name="INSTRUÇÕES" sheetId="9" r:id="rId1"/>
    <sheet name="DADOS" sheetId="1" r:id="rId2"/>
    <sheet name="Resumo Dados" sheetId="2" r:id="rId3"/>
    <sheet name="Matriz Kraljic" sheetId="3" r:id="rId4"/>
  </sheets>
  <definedNames>
    <definedName name="_xlnm._FilterDatabase" localSheetId="1" hidden="1">DADOS!$A$8:$S$31</definedName>
    <definedName name="_xlnm._FilterDatabase" localSheetId="2" hidden="1">'Resumo Dados'!$A$1:$G$26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5" i="2"/>
  <c r="C4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5" i="2"/>
  <c r="B4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5" i="2"/>
  <c r="A4" i="2"/>
  <c r="D12" i="1"/>
  <c r="D8" i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3" i="2"/>
  <c r="D24" i="2"/>
  <c r="D25" i="2"/>
  <c r="D26" i="2"/>
  <c r="D4" i="2"/>
  <c r="P22" i="1"/>
  <c r="P23" i="1"/>
  <c r="P24" i="1"/>
  <c r="P25" i="1"/>
  <c r="P26" i="1"/>
  <c r="P27" i="1"/>
  <c r="P28" i="1"/>
  <c r="P29" i="1"/>
  <c r="P30" i="1"/>
  <c r="P31" i="1"/>
  <c r="P10" i="1"/>
  <c r="P11" i="1"/>
  <c r="P12" i="1"/>
  <c r="P13" i="1"/>
  <c r="P14" i="1"/>
  <c r="P15" i="1"/>
  <c r="P16" i="1"/>
  <c r="P17" i="1"/>
  <c r="P18" i="1"/>
  <c r="P19" i="1"/>
  <c r="P20" i="1"/>
  <c r="P21" i="1"/>
  <c r="P9" i="1"/>
  <c r="E15" i="2"/>
  <c r="E26" i="2"/>
  <c r="E21" i="2"/>
  <c r="E20" i="2"/>
  <c r="E25" i="2"/>
  <c r="E8" i="2"/>
  <c r="E24" i="2"/>
  <c r="E12" i="2"/>
  <c r="E23" i="2"/>
  <c r="E11" i="2"/>
  <c r="E6" i="2"/>
  <c r="E18" i="2"/>
  <c r="E13" i="2"/>
  <c r="E16" i="2"/>
  <c r="E10" i="2"/>
  <c r="E5" i="2"/>
  <c r="E22" i="2"/>
  <c r="E14" i="2"/>
  <c r="E7" i="2"/>
  <c r="E9" i="2"/>
  <c r="E19" i="2"/>
  <c r="E17" i="2"/>
  <c r="E4" i="2"/>
  <c r="P8" i="1"/>
  <c r="J8" i="1"/>
  <c r="E9" i="1"/>
  <c r="E10" i="1"/>
  <c r="F10" i="1"/>
  <c r="E11" i="1"/>
  <c r="F11" i="1"/>
  <c r="J11" i="1"/>
  <c r="E12" i="1"/>
  <c r="F12" i="1"/>
  <c r="J12" i="1"/>
  <c r="R12" i="1"/>
  <c r="E13" i="1"/>
  <c r="F13" i="1"/>
  <c r="J13" i="1"/>
  <c r="E14" i="1"/>
  <c r="F14" i="1"/>
  <c r="E15" i="1"/>
  <c r="F15" i="1"/>
  <c r="E16" i="1"/>
  <c r="F16" i="1"/>
  <c r="J16" i="1"/>
  <c r="R16" i="1"/>
  <c r="E17" i="1"/>
  <c r="F17" i="1"/>
  <c r="E18" i="1"/>
  <c r="F18" i="1"/>
  <c r="E19" i="1"/>
  <c r="E20" i="1"/>
  <c r="E21" i="1"/>
  <c r="E22" i="1"/>
  <c r="E23" i="1"/>
  <c r="E24" i="1"/>
  <c r="E25" i="1"/>
  <c r="E26" i="1"/>
  <c r="E27" i="1"/>
  <c r="E28" i="1"/>
  <c r="F28" i="1"/>
  <c r="J28" i="1"/>
  <c r="R28" i="1"/>
  <c r="E29" i="1"/>
  <c r="F29" i="1"/>
  <c r="J29" i="1"/>
  <c r="R29" i="1"/>
  <c r="E30" i="1"/>
  <c r="F30" i="1"/>
  <c r="J30" i="1"/>
  <c r="R30" i="1"/>
  <c r="E31" i="1"/>
  <c r="F31" i="1"/>
  <c r="J31" i="1"/>
  <c r="R31" i="1"/>
  <c r="F9" i="1"/>
  <c r="J9" i="1"/>
  <c r="R9" i="1"/>
  <c r="E8" i="1"/>
  <c r="G26" i="2"/>
  <c r="F26" i="2"/>
  <c r="F23" i="1"/>
  <c r="J23" i="1"/>
  <c r="R23" i="1"/>
  <c r="F24" i="1"/>
  <c r="J24" i="1"/>
  <c r="R24" i="1"/>
  <c r="F22" i="1"/>
  <c r="J22" i="1"/>
  <c r="R22" i="1"/>
  <c r="F27" i="1"/>
  <c r="J27" i="1"/>
  <c r="R27" i="1"/>
  <c r="F26" i="1"/>
  <c r="J26" i="1"/>
  <c r="R26" i="1"/>
  <c r="F21" i="1"/>
  <c r="J21" i="1"/>
  <c r="R21" i="1"/>
  <c r="F25" i="1"/>
  <c r="J25" i="1"/>
  <c r="R25" i="1"/>
  <c r="G23" i="2"/>
  <c r="F23" i="2"/>
  <c r="F25" i="2"/>
  <c r="G25" i="2"/>
  <c r="F20" i="1"/>
  <c r="J20" i="1"/>
  <c r="R20" i="1"/>
  <c r="G24" i="2"/>
  <c r="F24" i="2"/>
  <c r="F19" i="1"/>
  <c r="J19" i="1"/>
  <c r="J18" i="1"/>
  <c r="R18" i="1"/>
  <c r="R13" i="1"/>
  <c r="J17" i="1"/>
  <c r="R17" i="1"/>
  <c r="R11" i="1"/>
  <c r="J15" i="1"/>
  <c r="R15" i="1"/>
  <c r="J10" i="1"/>
  <c r="R10" i="1"/>
  <c r="J14" i="1"/>
  <c r="R14" i="1"/>
  <c r="R19" i="1"/>
  <c r="F14" i="2"/>
  <c r="G16" i="2"/>
  <c r="F16" i="2"/>
  <c r="G17" i="2"/>
  <c r="F17" i="2"/>
  <c r="G21" i="2"/>
  <c r="F21" i="2"/>
  <c r="G19" i="2"/>
  <c r="F19" i="2"/>
  <c r="G20" i="2"/>
  <c r="F20" i="2"/>
  <c r="G15" i="2"/>
  <c r="F15" i="2"/>
  <c r="G22" i="2"/>
  <c r="F22" i="2"/>
  <c r="G18" i="2"/>
  <c r="F18" i="2"/>
  <c r="F11" i="2"/>
  <c r="G11" i="2"/>
  <c r="F7" i="2"/>
  <c r="G7" i="2"/>
  <c r="G9" i="2"/>
  <c r="F9" i="2"/>
  <c r="G12" i="2"/>
  <c r="F12" i="2"/>
  <c r="F8" i="2"/>
  <c r="G8" i="2"/>
  <c r="F6" i="2"/>
  <c r="G6" i="2"/>
  <c r="F4" i="2"/>
  <c r="G4" i="2"/>
  <c r="G13" i="2"/>
  <c r="F13" i="2"/>
  <c r="F10" i="2"/>
  <c r="G10" i="2"/>
  <c r="F5" i="2"/>
  <c r="G5" i="2"/>
  <c r="G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6" authorId="0" shapeId="0" xr:uid="{29EDC2EF-3E86-447E-A83B-E2173C0CFC9F}">
      <text>
        <r>
          <rPr>
            <b/>
            <sz val="9"/>
            <color indexed="81"/>
            <rFont val="Segoe UI"/>
            <family val="2"/>
          </rPr>
          <t>Estabeleça critérios considerando o impacto em seu negócio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7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 xml:space="preserve">Qual é a parcela dos gastos da categoria no total de compras? </t>
        </r>
        <r>
          <rPr>
            <sz val="9"/>
            <color indexed="81"/>
            <rFont val="Segoe UI"/>
            <family val="2"/>
          </rPr>
          <t xml:space="preserve">
4 - Spend maior ou igual a 1%
3 - Spend menor do que 1% e maior ou igual a 0,5%
2 - Spend menor do que 0,5% e maior ou igual a 0,15%
1 - Spend menor do que 0,15%</t>
        </r>
      </text>
    </comment>
    <comment ref="G7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 xml:space="preserve">Qual é o impacto em caso de falta dos materiais/serviços ou problema de qualidade nesta categoria?
</t>
        </r>
        <r>
          <rPr>
            <sz val="9"/>
            <color indexed="81"/>
            <rFont val="Segoe UI"/>
            <family val="2"/>
          </rPr>
          <t xml:space="preserve">
4 - Material/Serviço com impacto crítico no negócio. Impacta na continuidade da produção/distribuição em todos os processos e um problema de qualidade pode comprometer o produto final.
3 - Material/Serviço com alto impacto. Pode parar um ou mais processos de produção/distribuição e um problema de qualidade pode gerar um desvio ou liberação condicional.
2 - Material/Serviço com médio impacto. Pode impactar na produção/distribuição e um problema de qualidade pode gerar um desvio ou liberação condicional
1 - Material/Serviço não compromete a produção/distribuição e o produto final.
</t>
        </r>
      </text>
    </comment>
    <comment ref="H7" authorId="0" shapeId="0" xr:uid="{DC625CE8-84BB-418D-B5FC-7122954D977B}">
      <text>
        <r>
          <rPr>
            <b/>
            <sz val="9"/>
            <color indexed="81"/>
            <rFont val="Segoe UI"/>
            <family val="2"/>
          </rPr>
          <t>Como é a definição das especificações técnicas dos principais produtos ou serviços desta categoria?</t>
        </r>
        <r>
          <rPr>
            <sz val="9"/>
            <color indexed="81"/>
            <rFont val="Segoe UI"/>
            <family val="2"/>
          </rPr>
          <t xml:space="preserve">
4 - Específico: produtos/serviços são definidos pela área técnica da sua empresa e exige alto investimentos para mudança. 
3 -  Específico: produtos/serviços são definidos pela área técnica da sua empresa e com baixo investimentos para mudança. 
2 - Configurável: as especificações são definidas em conjunto com as áreas técnicas, com abertura para otimizações técnicas para redução dos custos.
1- Padrão de mercado: os produtos / serviços são itens básicos (commodities)</t>
        </r>
      </text>
    </comment>
    <comment ref="I7" authorId="0" shapeId="0" xr:uid="{E70722AA-7295-440B-B71D-8868F336145F}">
      <text>
        <r>
          <rPr>
            <b/>
            <sz val="9"/>
            <color indexed="81"/>
            <rFont val="Segoe UI"/>
            <family val="2"/>
          </rPr>
          <t xml:space="preserve">Qual é o impacto do material/serviço na percepção do cliente final ? Percepção pode ser traduzida como a funcionalidade e qualidade percebida pelo cliente.
</t>
        </r>
        <r>
          <rPr>
            <sz val="9"/>
            <color indexed="81"/>
            <rFont val="Segoe UI"/>
            <family val="2"/>
          </rPr>
          <t xml:space="preserve">
4 - Material/Serviço impacta na percepção e/ ou na segurança do cliente final
3 - Material/Serviço impacta na percepção do cliente final
2 - Material/Serviço tem baixo impacto na percepção do cliente final
1 - Material/Serviço não tem impacto na percepção do cliente final</t>
        </r>
      </text>
    </comment>
    <comment ref="L7" authorId="0" shapeId="0" xr:uid="{00000000-0006-0000-0000-000005000000}">
      <text>
        <r>
          <rPr>
            <b/>
            <sz val="9"/>
            <color indexed="81"/>
            <rFont val="Segoe UI"/>
            <family val="2"/>
          </rPr>
          <t xml:space="preserve">Qual é a disponibilidade do mercado fornecedor para esta categoria? 
</t>
        </r>
        <r>
          <rPr>
            <sz val="9"/>
            <color indexed="81"/>
            <rFont val="Segoe UI"/>
            <family val="2"/>
          </rPr>
          <t xml:space="preserve">4 - Monopólio ou Duopólio: 1 ou 2 fornecedores, considerando o mercado global, onde existe apenas um ou dois fornecedores do material. 
3 - Oligopólio: 3 a 4 fornecedores dominam e controlam a maioria da quota de mercado global e/ou local. 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2 - Concentrado: 5 ou 6 fornecedores dominam e controlam a maioria da quota de mercado global e/ou local. 
1 - Disperso ou Fragmentado: mais de 6 fornecedores possuem pequenas quotas de mercado global e/ou local. 
</t>
        </r>
      </text>
    </comment>
    <comment ref="M7" authorId="0" shapeId="0" xr:uid="{CD56DAA9-D273-40AE-9C12-0D869A5C638C}">
      <text>
        <r>
          <rPr>
            <b/>
            <sz val="9"/>
            <color indexed="81"/>
            <rFont val="Segoe UI"/>
            <family val="2"/>
          </rPr>
          <t>Os fornecedores com capacidade de atendimento para sua empresa competem acirradamente por melhores preços?</t>
        </r>
        <r>
          <rPr>
            <sz val="9"/>
            <color indexed="81"/>
            <rFont val="Segoe UI"/>
            <family val="2"/>
          </rPr>
          <t xml:space="preserve">
4 - Baixa competitividade. O mercado possui poucos fornecedores que tem capacidade de atender e possuem os principais drivers de custos atrelados ao mercado.
3 - Média competitividade. O mercado possui poucos fornecedores que tem capacidade de atender, mas possuem flexibilidade para negociação.
2 - Alta competitividade. O mercado possui muitos fornecedores e possuem os principais drivers de custos atrelados ao mercado. 
1 - Altíssima competitividade. O mercado possui muitos fornecedores e muita competição por melhores preços.</t>
        </r>
      </text>
    </comment>
    <comment ref="N7" authorId="0" shapeId="0" xr:uid="{968ABF2E-D3F7-419D-92F5-C2E071199CF8}">
      <text>
        <r>
          <rPr>
            <b/>
            <sz val="9"/>
            <color indexed="81"/>
            <rFont val="Segoe UI"/>
            <family val="2"/>
          </rPr>
          <t>Qual é o poder do fornecedor nas negociações?</t>
        </r>
        <r>
          <rPr>
            <sz val="9"/>
            <color indexed="81"/>
            <rFont val="Segoe UI"/>
            <family val="2"/>
          </rPr>
          <t xml:space="preserve">
4 - Fornecedor com alto poder de negociação. A sua empresa não tem peso estratégico.
3 - Fornecedor com alto poder de negociação. No entanto, a sua empresa tem peso estratégico.
2 - O poder de barganha é equilibrado e dependendo da negociação, haverá resultados ganha-ganha.
1 - A sua empresa é um dos principais clientes do fornecedor. A força de negociação é do comprador. </t>
        </r>
      </text>
    </comment>
    <comment ref="O7" authorId="0" shapeId="0" xr:uid="{00000000-0006-0000-0000-000007000000}">
      <text>
        <r>
          <rPr>
            <b/>
            <sz val="9"/>
            <color indexed="81"/>
            <rFont val="Segoe UI"/>
            <family val="2"/>
          </rPr>
          <t>Qual a complexidade e tempo para homologar um novo fornecedor para o produto/serviço?</t>
        </r>
        <r>
          <rPr>
            <sz val="9"/>
            <color indexed="81"/>
            <rFont val="Segoe UI"/>
            <family val="2"/>
          </rPr>
          <t xml:space="preserve">
4- Além do período de transição, é necessário um start com equipes multidisciplinares (Ex.: comercial, técnico, industrial, etc) ou um CAPEX alto para transição. (Tempo: Mais de 6 meses)
3- É necessário procedimento de transição entre contratos devido à gestão do conhecimento ou continuidade operacional - pode exigir mobilização. (Tempo: Menos de 6 meses e mais de 60 dias)
2- O início da nova contratação é independete da atuação do fornecedor anterior, mas existe um processo de mobilização pós contratação. (Tempo: Menos de 60 dias)
1- O início da nova contratação é independete da atuação do fornecedor anterior. 
(Tempo: Menos de 30 dias)
</t>
        </r>
      </text>
    </comment>
  </commentList>
</comments>
</file>

<file path=xl/sharedStrings.xml><?xml version="1.0" encoding="utf-8"?>
<sst xmlns="http://schemas.openxmlformats.org/spreadsheetml/2006/main" count="119" uniqueCount="90">
  <si>
    <t>SEGMENTO</t>
  </si>
  <si>
    <t>Transporte</t>
  </si>
  <si>
    <t>Armazem/Galpões</t>
  </si>
  <si>
    <t>Armazenagem</t>
  </si>
  <si>
    <t>Componentes</t>
  </si>
  <si>
    <t>Máquinas e Equipamentos</t>
  </si>
  <si>
    <t>Energia Elétrica</t>
  </si>
  <si>
    <t>Gás Natural</t>
  </si>
  <si>
    <t>Gases Especiais</t>
  </si>
  <si>
    <t>Gestão Resíduos</t>
  </si>
  <si>
    <t>Pallets</t>
  </si>
  <si>
    <t>Serviços</t>
  </si>
  <si>
    <t>Manutenção</t>
  </si>
  <si>
    <t>Consultoria</t>
  </si>
  <si>
    <t>Benefícios</t>
  </si>
  <si>
    <t>Serviços Jurídicos</t>
  </si>
  <si>
    <t>Especializados</t>
  </si>
  <si>
    <t>Frota</t>
  </si>
  <si>
    <t>Equipamentos e Periféricos</t>
  </si>
  <si>
    <t>Nível Criticidade</t>
  </si>
  <si>
    <t>Spend</t>
  </si>
  <si>
    <t>% Sob Spend Total</t>
  </si>
  <si>
    <t>IMPACTO NO NEGÓCIO</t>
  </si>
  <si>
    <t>Critério Peso</t>
  </si>
  <si>
    <t>Estrutura do Mercado</t>
  </si>
  <si>
    <t>Poder Barganha do Fornecedor</t>
  </si>
  <si>
    <t>Rivalidade do Mercado</t>
  </si>
  <si>
    <t>PONTUAÇÃO</t>
  </si>
  <si>
    <t>CATEGORIA (Nível II)</t>
  </si>
  <si>
    <t>Spend TOTAL (MM)</t>
  </si>
  <si>
    <t>COMPLEXIDADE MERCADO FORNECEDOR</t>
  </si>
  <si>
    <t>Especificações Técnicas</t>
  </si>
  <si>
    <t>Valor Percebido pelos Clientes Finais</t>
  </si>
  <si>
    <t>COMPLEXIDADE (Eixo X)</t>
  </si>
  <si>
    <t>IMPACTO NEGÓCIO (Eixo Y)</t>
  </si>
  <si>
    <t>SPEND (R$ MM)</t>
  </si>
  <si>
    <t>ROTÚLO DADOS</t>
  </si>
  <si>
    <t>Substituição Fornecedor</t>
  </si>
  <si>
    <t>ESTRATÉGIA COMPRAS</t>
  </si>
  <si>
    <t>Rótulo Dados</t>
  </si>
  <si>
    <t>(D) Embalagens</t>
  </si>
  <si>
    <t>(I) Logística</t>
  </si>
  <si>
    <t>(I) Máquinas</t>
  </si>
  <si>
    <t>(I) Marketing</t>
  </si>
  <si>
    <t>(I) Energia Elétrica</t>
  </si>
  <si>
    <t>(I) Consumíveis</t>
  </si>
  <si>
    <t>(I) Facilities</t>
  </si>
  <si>
    <t>(I) TI</t>
  </si>
  <si>
    <t>(I) Serviços</t>
  </si>
  <si>
    <t>(I) Recursos Humanos</t>
  </si>
  <si>
    <t>Serviços Consultoria TI</t>
  </si>
  <si>
    <t>Benefícios Planos de Saúde</t>
  </si>
  <si>
    <t>Benefícios Refeições</t>
  </si>
  <si>
    <t>Consultoria Gestão Empresarial</t>
  </si>
  <si>
    <t>Frota Locação de Veículos</t>
  </si>
  <si>
    <t>Especializados Assistencia Técnica</t>
  </si>
  <si>
    <t>Equipamentos e Periféricos Outros</t>
  </si>
  <si>
    <t>Serviços Vigilancia &amp; Segurança</t>
  </si>
  <si>
    <t>(D) Matéria-Prima</t>
  </si>
  <si>
    <t>Matéria-Prima 1</t>
  </si>
  <si>
    <t>Embalagens 1</t>
  </si>
  <si>
    <t>Matéria-Prima 2</t>
  </si>
  <si>
    <t>Frete Inbound</t>
  </si>
  <si>
    <t>Matéria-Prima 3</t>
  </si>
  <si>
    <t>Publicidade &amp; Propaganda</t>
  </si>
  <si>
    <t>Agências Marketing</t>
  </si>
  <si>
    <t>MATRIZ DE KRALJIC - Exemplo</t>
  </si>
  <si>
    <t>Use esse template para ajudar a segmentar e definir a estratégia de suas categorias.</t>
  </si>
  <si>
    <t>INSTRUÇÕES DE USO</t>
  </si>
  <si>
    <t>CATEGORIA</t>
  </si>
  <si>
    <t>SPEND SEM IMPOSTOS (R$ MM)</t>
  </si>
  <si>
    <t>3) Informe o Spend Total de compras (célula D5)</t>
  </si>
  <si>
    <t>5) Estabeleça os critérios de análise e sua relevância (deve somar 100%) para IMPACTO NO NEGÓCIO</t>
  </si>
  <si>
    <t>7) Avalie cada categoria conforme a pontuação definida no item 6.</t>
  </si>
  <si>
    <t>8) Estabeleça os critérios de análise e sua relevância (deve somar 100%) para COMPLEXIDADE DO MERCADO FORNECEDOR</t>
  </si>
  <si>
    <t>9) Estabeleça a pontuação para cada critério a ser avaliado (1 a 4) para COMPLEXIDADE DO MERCADO FORNECEDOR. Vide comentários nas células.</t>
  </si>
  <si>
    <t>10) Avalie cada categoria conforme a pontuação definida no item 9.</t>
  </si>
  <si>
    <t>12) Na aba "Matriz Kraljic" automaticamente será plotado o posicionamento de suas categorias.</t>
  </si>
  <si>
    <t>Comentários Adicionais</t>
  </si>
  <si>
    <t>Células</t>
  </si>
  <si>
    <t>= células para preencher com dados</t>
  </si>
  <si>
    <t>6) Estabeleça a pontuação para cada critério a ser avaliado (1 a 4) para IMPACTO NO NEGÓCIO. Vide comentários nas células.</t>
  </si>
  <si>
    <t>1) Preencha as colunas "A" e "B" com o segmento e categorias (no último nível)</t>
  </si>
  <si>
    <t>11) Na aba "Resumo Dados" terá um resumo dos dados que será utilizado para a construção da Matriz.</t>
  </si>
  <si>
    <t>2) Defina o título do rótulo, é o nome da categoria que irá aparecer na Matriz de Kraljic (coluna C)</t>
  </si>
  <si>
    <t>4) Informe o Spend de cada categoria a ser avaliado. Nesse exemplo, observe que priorizamos apenas 52% do spend, mas você pode utilizar 100%. Para isso, basta adicionar mais linhas e replicar as fórmulas.</t>
  </si>
  <si>
    <t>Para saber mais sobre a Matriz de Kraljic e as estratégias de compras, venha participar de nossos treinamentos!</t>
  </si>
  <si>
    <t>www.procurementgarage.com/treinamentos/</t>
  </si>
  <si>
    <r>
      <t xml:space="preserve">TEMPLATE BY </t>
    </r>
    <r>
      <rPr>
        <b/>
        <i/>
        <sz val="20"/>
        <color rgb="FF2865AF"/>
        <rFont val="Calibri"/>
        <family val="2"/>
        <scheme val="minor"/>
      </rPr>
      <t>PROCUREMENT GARAGE</t>
    </r>
    <r>
      <rPr>
        <b/>
        <sz val="20"/>
        <color rgb="FF2865AF"/>
        <rFont val="Calibri"/>
        <family val="2"/>
        <scheme val="minor"/>
      </rPr>
      <t>: MATRIZ DE KRALJIC</t>
    </r>
  </si>
  <si>
    <t>= células com fórmulas (cuidado ao alterar)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</si>
</sst>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name val="Calibri"/>
      <family val="2"/>
      <scheme val="minor"/>
    </font>
    <font>
      <b/>
      <sz val="2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rgb="FF2865AF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rgb="FF2865AF"/>
      <name val="Calibri"/>
      <family val="2"/>
      <scheme val="minor"/>
    </font>
    <font>
      <b/>
      <i/>
      <sz val="20"/>
      <color rgb="FF2865AF"/>
      <name val="Calibri"/>
      <family val="2"/>
      <scheme val="minor"/>
    </font>
    <font>
      <b/>
      <sz val="28"/>
      <color rgb="FF2865AF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AFB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140">
    <xf numFmtId="0" fontId="0" fillId="0" borderId="0" xfId="0"/>
    <xf numFmtId="0" fontId="0" fillId="0" borderId="10" xfId="0" applyBorder="1"/>
    <xf numFmtId="164" fontId="0" fillId="0" borderId="10" xfId="1" applyFont="1" applyBorder="1"/>
    <xf numFmtId="2" fontId="0" fillId="0" borderId="10" xfId="0" applyNumberFormat="1" applyBorder="1"/>
    <xf numFmtId="0" fontId="0" fillId="33" borderId="10" xfId="0" applyFill="1" applyBorder="1" applyAlignment="1">
      <alignment horizontal="center" vertical="center" wrapText="1"/>
    </xf>
    <xf numFmtId="0" fontId="0" fillId="37" borderId="10" xfId="0" applyFill="1" applyBorder="1" applyAlignment="1">
      <alignment horizontal="center" vertical="center" wrapText="1"/>
    </xf>
    <xf numFmtId="2" fontId="16" fillId="37" borderId="10" xfId="0" applyNumberFormat="1" applyFont="1" applyFill="1" applyBorder="1" applyAlignment="1">
      <alignment horizontal="center"/>
    </xf>
    <xf numFmtId="2" fontId="20" fillId="0" borderId="10" xfId="0" applyNumberFormat="1" applyFont="1" applyBorder="1"/>
    <xf numFmtId="0" fontId="0" fillId="0" borderId="12" xfId="0" applyBorder="1"/>
    <xf numFmtId="164" fontId="0" fillId="0" borderId="10" xfId="0" applyNumberFormat="1" applyBorder="1"/>
    <xf numFmtId="0" fontId="0" fillId="37" borderId="0" xfId="0" applyFill="1" applyAlignment="1">
      <alignment horizontal="center" vertical="center" wrapText="1"/>
    </xf>
    <xf numFmtId="0" fontId="0" fillId="37" borderId="0" xfId="0" applyFill="1"/>
    <xf numFmtId="164" fontId="0" fillId="37" borderId="0" xfId="1" applyFont="1" applyFill="1"/>
    <xf numFmtId="10" fontId="0" fillId="37" borderId="0" xfId="1" applyNumberFormat="1" applyFont="1" applyFill="1"/>
    <xf numFmtId="2" fontId="0" fillId="0" borderId="16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164" fontId="0" fillId="0" borderId="12" xfId="0" applyNumberFormat="1" applyBorder="1"/>
    <xf numFmtId="0" fontId="0" fillId="0" borderId="13" xfId="0" applyBorder="1"/>
    <xf numFmtId="164" fontId="0" fillId="0" borderId="14" xfId="1" applyFont="1" applyBorder="1"/>
    <xf numFmtId="0" fontId="0" fillId="0" borderId="16" xfId="0" applyBorder="1"/>
    <xf numFmtId="0" fontId="0" fillId="0" borderId="18" xfId="0" applyBorder="1"/>
    <xf numFmtId="164" fontId="0" fillId="0" borderId="19" xfId="1" applyFont="1" applyBorder="1"/>
    <xf numFmtId="164" fontId="0" fillId="0" borderId="19" xfId="0" applyNumberFormat="1" applyBorder="1"/>
    <xf numFmtId="0" fontId="0" fillId="0" borderId="23" xfId="0" applyBorder="1"/>
    <xf numFmtId="0" fontId="0" fillId="0" borderId="24" xfId="0" applyBorder="1"/>
    <xf numFmtId="0" fontId="0" fillId="0" borderId="27" xfId="0" applyBorder="1"/>
    <xf numFmtId="0" fontId="0" fillId="37" borderId="21" xfId="0" applyFill="1" applyBorder="1"/>
    <xf numFmtId="0" fontId="13" fillId="37" borderId="0" xfId="0" applyFont="1" applyFill="1" applyAlignment="1">
      <alignment horizontal="center" vertical="center" wrapText="1"/>
    </xf>
    <xf numFmtId="0" fontId="0" fillId="33" borderId="16" xfId="0" applyFill="1" applyBorder="1" applyAlignment="1">
      <alignment horizontal="center" vertical="center" wrapText="1"/>
    </xf>
    <xf numFmtId="2" fontId="16" fillId="37" borderId="0" xfId="0" applyNumberFormat="1" applyFont="1" applyFill="1" applyAlignment="1">
      <alignment horizontal="center"/>
    </xf>
    <xf numFmtId="2" fontId="16" fillId="37" borderId="0" xfId="0" applyNumberFormat="1" applyFont="1" applyFill="1"/>
    <xf numFmtId="9" fontId="13" fillId="37" borderId="0" xfId="0" applyNumberFormat="1" applyFont="1" applyFill="1" applyAlignment="1">
      <alignment horizontal="center" vertical="center" wrapText="1"/>
    </xf>
    <xf numFmtId="0" fontId="0" fillId="33" borderId="17" xfId="0" applyFill="1" applyBorder="1" applyAlignment="1">
      <alignment horizontal="center" vertical="center" wrapText="1"/>
    </xf>
    <xf numFmtId="2" fontId="0" fillId="0" borderId="13" xfId="0" applyNumberFormat="1" applyBorder="1"/>
    <xf numFmtId="2" fontId="0" fillId="0" borderId="14" xfId="0" applyNumberFormat="1" applyBorder="1"/>
    <xf numFmtId="2" fontId="0" fillId="0" borderId="15" xfId="0" applyNumberFormat="1" applyBorder="1"/>
    <xf numFmtId="2" fontId="0" fillId="0" borderId="17" xfId="0" applyNumberFormat="1" applyBorder="1"/>
    <xf numFmtId="2" fontId="0" fillId="0" borderId="20" xfId="0" applyNumberFormat="1" applyBorder="1"/>
    <xf numFmtId="0" fontId="0" fillId="37" borderId="16" xfId="0" applyFill="1" applyBorder="1" applyAlignment="1">
      <alignment horizontal="center" vertical="center" wrapText="1"/>
    </xf>
    <xf numFmtId="2" fontId="20" fillId="0" borderId="16" xfId="0" applyNumberFormat="1" applyFont="1" applyBorder="1"/>
    <xf numFmtId="9" fontId="13" fillId="37" borderId="33" xfId="0" applyNumberFormat="1" applyFont="1" applyFill="1" applyBorder="1" applyAlignment="1">
      <alignment horizontal="center" vertical="center" wrapText="1"/>
    </xf>
    <xf numFmtId="0" fontId="21" fillId="37" borderId="21" xfId="0" applyFont="1" applyFill="1" applyBorder="1" applyAlignment="1">
      <alignment vertical="center"/>
    </xf>
    <xf numFmtId="0" fontId="21" fillId="37" borderId="0" xfId="0" applyFont="1" applyFill="1" applyAlignment="1">
      <alignment vertical="center"/>
    </xf>
    <xf numFmtId="0" fontId="21" fillId="37" borderId="31" xfId="0" applyFont="1" applyFill="1" applyBorder="1" applyAlignment="1">
      <alignment vertical="center"/>
    </xf>
    <xf numFmtId="0" fontId="16" fillId="34" borderId="19" xfId="0" applyFont="1" applyFill="1" applyBorder="1" applyAlignment="1">
      <alignment horizontal="center" vertical="center" wrapText="1"/>
    </xf>
    <xf numFmtId="164" fontId="16" fillId="34" borderId="19" xfId="1" applyFont="1" applyFill="1" applyBorder="1" applyAlignment="1">
      <alignment horizontal="center" vertical="center" wrapText="1"/>
    </xf>
    <xf numFmtId="10" fontId="16" fillId="34" borderId="20" xfId="1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9" xfId="0" applyBorder="1"/>
    <xf numFmtId="0" fontId="0" fillId="37" borderId="28" xfId="0" applyFill="1" applyBorder="1"/>
    <xf numFmtId="0" fontId="0" fillId="37" borderId="29" xfId="0" applyFill="1" applyBorder="1"/>
    <xf numFmtId="164" fontId="0" fillId="37" borderId="29" xfId="1" applyFont="1" applyFill="1" applyBorder="1"/>
    <xf numFmtId="10" fontId="0" fillId="37" borderId="30" xfId="1" applyNumberFormat="1" applyFont="1" applyFill="1" applyBorder="1"/>
    <xf numFmtId="164" fontId="0" fillId="37" borderId="0" xfId="1" applyFont="1" applyFill="1" applyBorder="1"/>
    <xf numFmtId="10" fontId="0" fillId="37" borderId="31" xfId="1" applyNumberFormat="1" applyFont="1" applyFill="1" applyBorder="1"/>
    <xf numFmtId="0" fontId="0" fillId="37" borderId="34" xfId="0" applyFill="1" applyBorder="1"/>
    <xf numFmtId="0" fontId="0" fillId="37" borderId="32" xfId="0" applyFill="1" applyBorder="1"/>
    <xf numFmtId="0" fontId="16" fillId="37" borderId="32" xfId="0" applyFont="1" applyFill="1" applyBorder="1" applyAlignment="1">
      <alignment horizontal="right" vertical="center"/>
    </xf>
    <xf numFmtId="164" fontId="16" fillId="37" borderId="32" xfId="1" applyFont="1" applyFill="1" applyBorder="1" applyAlignment="1">
      <alignment vertical="center"/>
    </xf>
    <xf numFmtId="10" fontId="0" fillId="37" borderId="35" xfId="1" applyNumberFormat="1" applyFont="1" applyFill="1" applyBorder="1"/>
    <xf numFmtId="0" fontId="0" fillId="0" borderId="25" xfId="0" applyBorder="1"/>
    <xf numFmtId="0" fontId="13" fillId="37" borderId="29" xfId="0" applyFont="1" applyFill="1" applyBorder="1" applyAlignment="1">
      <alignment horizontal="center" vertical="center" wrapText="1"/>
    </xf>
    <xf numFmtId="0" fontId="16" fillId="37" borderId="0" xfId="0" applyFont="1" applyFill="1" applyAlignment="1">
      <alignment horizontal="center"/>
    </xf>
    <xf numFmtId="0" fontId="16" fillId="37" borderId="32" xfId="0" applyFont="1" applyFill="1" applyBorder="1" applyAlignment="1">
      <alignment horizontal="center"/>
    </xf>
    <xf numFmtId="0" fontId="0" fillId="0" borderId="22" xfId="0" applyBorder="1"/>
    <xf numFmtId="2" fontId="16" fillId="37" borderId="12" xfId="0" applyNumberFormat="1" applyFont="1" applyFill="1" applyBorder="1" applyAlignment="1">
      <alignment horizontal="center"/>
    </xf>
    <xf numFmtId="0" fontId="0" fillId="0" borderId="26" xfId="0" applyBorder="1"/>
    <xf numFmtId="0" fontId="0" fillId="0" borderId="17" xfId="0" applyBorder="1"/>
    <xf numFmtId="2" fontId="16" fillId="37" borderId="19" xfId="0" applyNumberFormat="1" applyFont="1" applyFill="1" applyBorder="1" applyAlignment="1">
      <alignment horizontal="center"/>
    </xf>
    <xf numFmtId="0" fontId="0" fillId="0" borderId="20" xfId="0" applyBorder="1"/>
    <xf numFmtId="0" fontId="16" fillId="0" borderId="0" xfId="0" applyFont="1"/>
    <xf numFmtId="0" fontId="23" fillId="0" borderId="0" xfId="0" applyFont="1"/>
    <xf numFmtId="0" fontId="0" fillId="0" borderId="0" xfId="0" applyFont="1"/>
    <xf numFmtId="10" fontId="0" fillId="34" borderId="15" xfId="2" applyNumberFormat="1" applyFont="1" applyFill="1" applyBorder="1"/>
    <xf numFmtId="10" fontId="0" fillId="34" borderId="17" xfId="2" applyNumberFormat="1" applyFont="1" applyFill="1" applyBorder="1"/>
    <xf numFmtId="10" fontId="0" fillId="34" borderId="20" xfId="2" applyNumberFormat="1" applyFont="1" applyFill="1" applyBorder="1"/>
    <xf numFmtId="2" fontId="0" fillId="34" borderId="13" xfId="0" applyNumberFormat="1" applyFill="1" applyBorder="1"/>
    <xf numFmtId="2" fontId="0" fillId="34" borderId="16" xfId="0" applyNumberFormat="1" applyFill="1" applyBorder="1"/>
    <xf numFmtId="2" fontId="0" fillId="34" borderId="18" xfId="0" applyNumberFormat="1" applyFill="1" applyBorder="1"/>
    <xf numFmtId="9" fontId="16" fillId="0" borderId="18" xfId="0" applyNumberFormat="1" applyFont="1" applyFill="1" applyBorder="1" applyAlignment="1">
      <alignment horizontal="center" vertical="center" wrapText="1"/>
    </xf>
    <xf numFmtId="9" fontId="16" fillId="0" borderId="19" xfId="0" applyNumberFormat="1" applyFont="1" applyFill="1" applyBorder="1" applyAlignment="1">
      <alignment horizontal="center" vertical="center" wrapText="1"/>
    </xf>
    <xf numFmtId="9" fontId="16" fillId="0" borderId="20" xfId="0" applyNumberFormat="1" applyFont="1" applyFill="1" applyBorder="1" applyAlignment="1">
      <alignment horizontal="center" vertical="center" wrapText="1"/>
    </xf>
    <xf numFmtId="9" fontId="24" fillId="34" borderId="24" xfId="0" applyNumberFormat="1" applyFont="1" applyFill="1" applyBorder="1" applyAlignment="1">
      <alignment horizontal="center" vertical="center" wrapText="1"/>
    </xf>
    <xf numFmtId="2" fontId="16" fillId="34" borderId="22" xfId="0" applyNumberFormat="1" applyFont="1" applyFill="1" applyBorder="1" applyAlignment="1">
      <alignment horizontal="center"/>
    </xf>
    <xf numFmtId="2" fontId="16" fillId="34" borderId="23" xfId="0" applyNumberFormat="1" applyFont="1" applyFill="1" applyBorder="1" applyAlignment="1">
      <alignment horizontal="center"/>
    </xf>
    <xf numFmtId="2" fontId="16" fillId="34" borderId="24" xfId="0" applyNumberFormat="1" applyFont="1" applyFill="1" applyBorder="1" applyAlignment="1">
      <alignment horizontal="center"/>
    </xf>
    <xf numFmtId="2" fontId="16" fillId="34" borderId="15" xfId="0" applyNumberFormat="1" applyFont="1" applyFill="1" applyBorder="1" applyAlignment="1">
      <alignment horizontal="center"/>
    </xf>
    <xf numFmtId="2" fontId="16" fillId="34" borderId="17" xfId="0" applyNumberFormat="1" applyFont="1" applyFill="1" applyBorder="1" applyAlignment="1">
      <alignment horizontal="center"/>
    </xf>
    <xf numFmtId="2" fontId="16" fillId="34" borderId="20" xfId="0" applyNumberFormat="1" applyFont="1" applyFill="1" applyBorder="1" applyAlignment="1">
      <alignment horizontal="center"/>
    </xf>
    <xf numFmtId="9" fontId="24" fillId="34" borderId="20" xfId="0" applyNumberFormat="1" applyFont="1" applyFill="1" applyBorder="1" applyAlignment="1">
      <alignment horizontal="center" vertical="center" wrapText="1"/>
    </xf>
    <xf numFmtId="0" fontId="16" fillId="34" borderId="27" xfId="0" applyFont="1" applyFill="1" applyBorder="1" applyAlignment="1">
      <alignment horizontal="center"/>
    </xf>
    <xf numFmtId="0" fontId="16" fillId="34" borderId="23" xfId="0" applyFont="1" applyFill="1" applyBorder="1" applyAlignment="1">
      <alignment horizontal="center"/>
    </xf>
    <xf numFmtId="0" fontId="16" fillId="34" borderId="24" xfId="0" applyFont="1" applyFill="1" applyBorder="1" applyAlignment="1">
      <alignment horizontal="center"/>
    </xf>
    <xf numFmtId="0" fontId="0" fillId="0" borderId="0" xfId="0" quotePrefix="1"/>
    <xf numFmtId="0" fontId="0" fillId="34" borderId="10" xfId="0" applyFill="1" applyBorder="1"/>
    <xf numFmtId="0" fontId="25" fillId="0" borderId="0" xfId="0" applyFont="1"/>
    <xf numFmtId="0" fontId="0" fillId="0" borderId="0" xfId="0" applyFill="1"/>
    <xf numFmtId="0" fontId="22" fillId="0" borderId="0" xfId="44"/>
    <xf numFmtId="0" fontId="27" fillId="0" borderId="0" xfId="0" applyFont="1"/>
    <xf numFmtId="0" fontId="26" fillId="40" borderId="0" xfId="0" applyFont="1" applyFill="1" applyAlignment="1">
      <alignment horizontal="center"/>
    </xf>
    <xf numFmtId="0" fontId="0" fillId="0" borderId="0" xfId="0" applyAlignment="1">
      <alignment horizontal="left" vertical="top" wrapText="1"/>
    </xf>
    <xf numFmtId="0" fontId="29" fillId="37" borderId="28" xfId="0" applyFont="1" applyFill="1" applyBorder="1" applyAlignment="1">
      <alignment horizontal="center" vertical="center"/>
    </xf>
    <xf numFmtId="0" fontId="29" fillId="37" borderId="29" xfId="0" applyFont="1" applyFill="1" applyBorder="1" applyAlignment="1">
      <alignment horizontal="center" vertical="center"/>
    </xf>
    <xf numFmtId="0" fontId="29" fillId="37" borderId="30" xfId="0" applyFont="1" applyFill="1" applyBorder="1" applyAlignment="1">
      <alignment horizontal="center" vertical="center"/>
    </xf>
    <xf numFmtId="0" fontId="29" fillId="37" borderId="21" xfId="0" applyFont="1" applyFill="1" applyBorder="1" applyAlignment="1">
      <alignment horizontal="center" vertical="center"/>
    </xf>
    <xf numFmtId="0" fontId="29" fillId="37" borderId="0" xfId="0" applyFont="1" applyFill="1" applyAlignment="1">
      <alignment horizontal="center" vertical="center"/>
    </xf>
    <xf numFmtId="0" fontId="29" fillId="37" borderId="31" xfId="0" applyFont="1" applyFill="1" applyBorder="1" applyAlignment="1">
      <alignment horizontal="center" vertical="center"/>
    </xf>
    <xf numFmtId="0" fontId="16" fillId="38" borderId="22" xfId="0" applyFont="1" applyFill="1" applyBorder="1" applyAlignment="1">
      <alignment horizontal="center" vertical="center" wrapText="1"/>
    </xf>
    <xf numFmtId="0" fontId="16" fillId="38" borderId="23" xfId="0" applyFont="1" applyFill="1" applyBorder="1" applyAlignment="1">
      <alignment horizontal="center" vertical="center" wrapText="1"/>
    </xf>
    <xf numFmtId="0" fontId="16" fillId="38" borderId="24" xfId="0" applyFont="1" applyFill="1" applyBorder="1" applyAlignment="1">
      <alignment horizontal="center" vertical="center" wrapText="1"/>
    </xf>
    <xf numFmtId="0" fontId="13" fillId="36" borderId="15" xfId="0" applyFont="1" applyFill="1" applyBorder="1" applyAlignment="1">
      <alignment horizontal="center" vertical="center" wrapText="1"/>
    </xf>
    <xf numFmtId="0" fontId="13" fillId="36" borderId="17" xfId="0" applyFont="1" applyFill="1" applyBorder="1" applyAlignment="1">
      <alignment horizontal="center" vertical="center" wrapText="1"/>
    </xf>
    <xf numFmtId="0" fontId="16" fillId="39" borderId="22" xfId="0" applyFont="1" applyFill="1" applyBorder="1" applyAlignment="1">
      <alignment horizontal="center" vertical="center" wrapText="1"/>
    </xf>
    <xf numFmtId="0" fontId="16" fillId="39" borderId="23" xfId="0" applyFont="1" applyFill="1" applyBorder="1" applyAlignment="1">
      <alignment horizontal="center" vertical="center" wrapText="1"/>
    </xf>
    <xf numFmtId="0" fontId="16" fillId="39" borderId="24" xfId="0" applyFont="1" applyFill="1" applyBorder="1" applyAlignment="1">
      <alignment horizontal="center" vertical="center" wrapText="1"/>
    </xf>
    <xf numFmtId="10" fontId="16" fillId="38" borderId="15" xfId="1" applyNumberFormat="1" applyFont="1" applyFill="1" applyBorder="1" applyAlignment="1">
      <alignment horizontal="center" vertical="center" wrapText="1"/>
    </xf>
    <xf numFmtId="10" fontId="16" fillId="38" borderId="17" xfId="1" applyNumberFormat="1" applyFont="1" applyFill="1" applyBorder="1" applyAlignment="1">
      <alignment horizontal="center" vertical="center" wrapText="1"/>
    </xf>
    <xf numFmtId="164" fontId="16" fillId="38" borderId="14" xfId="1" applyFont="1" applyFill="1" applyBorder="1" applyAlignment="1">
      <alignment horizontal="center" vertical="center" wrapText="1"/>
    </xf>
    <xf numFmtId="164" fontId="16" fillId="38" borderId="10" xfId="1" applyFont="1" applyFill="1" applyBorder="1" applyAlignment="1">
      <alignment horizontal="center" vertical="center" wrapText="1"/>
    </xf>
    <xf numFmtId="0" fontId="13" fillId="35" borderId="13" xfId="0" applyFont="1" applyFill="1" applyBorder="1" applyAlignment="1">
      <alignment horizontal="center" vertical="center"/>
    </xf>
    <xf numFmtId="0" fontId="13" fillId="35" borderId="14" xfId="0" applyFont="1" applyFill="1" applyBorder="1" applyAlignment="1">
      <alignment horizontal="center" vertical="center"/>
    </xf>
    <xf numFmtId="0" fontId="13" fillId="35" borderId="15" xfId="0" applyFont="1" applyFill="1" applyBorder="1" applyAlignment="1">
      <alignment horizontal="center" vertical="center"/>
    </xf>
    <xf numFmtId="0" fontId="13" fillId="35" borderId="22" xfId="0" applyFont="1" applyFill="1" applyBorder="1" applyAlignment="1">
      <alignment horizontal="center" vertical="center" wrapText="1"/>
    </xf>
    <xf numFmtId="0" fontId="13" fillId="35" borderId="23" xfId="0" applyFont="1" applyFill="1" applyBorder="1" applyAlignment="1">
      <alignment horizontal="center" vertical="center" wrapText="1"/>
    </xf>
    <xf numFmtId="0" fontId="13" fillId="36" borderId="13" xfId="0" applyFont="1" applyFill="1" applyBorder="1" applyAlignment="1">
      <alignment horizontal="center" vertical="center"/>
    </xf>
    <xf numFmtId="0" fontId="13" fillId="36" borderId="14" xfId="0" applyFont="1" applyFill="1" applyBorder="1" applyAlignment="1">
      <alignment horizontal="center" vertical="center"/>
    </xf>
    <xf numFmtId="0" fontId="16" fillId="38" borderId="41" xfId="0" applyFont="1" applyFill="1" applyBorder="1" applyAlignment="1">
      <alignment horizontal="center" vertical="center" wrapText="1"/>
    </xf>
    <xf numFmtId="0" fontId="16" fillId="38" borderId="42" xfId="0" applyFont="1" applyFill="1" applyBorder="1" applyAlignment="1">
      <alignment horizontal="center" vertical="center" wrapText="1"/>
    </xf>
    <xf numFmtId="0" fontId="16" fillId="38" borderId="43" xfId="0" applyFont="1" applyFill="1" applyBorder="1" applyAlignment="1">
      <alignment horizontal="center" vertical="center" wrapText="1"/>
    </xf>
    <xf numFmtId="0" fontId="16" fillId="38" borderId="36" xfId="0" applyFont="1" applyFill="1" applyBorder="1" applyAlignment="1">
      <alignment horizontal="center" vertical="center" wrapText="1"/>
    </xf>
    <xf numFmtId="0" fontId="16" fillId="38" borderId="12" xfId="0" applyFont="1" applyFill="1" applyBorder="1" applyAlignment="1">
      <alignment horizontal="center" vertical="center" wrapText="1"/>
    </xf>
    <xf numFmtId="0" fontId="16" fillId="38" borderId="38" xfId="0" applyFont="1" applyFill="1" applyBorder="1" applyAlignment="1">
      <alignment horizontal="center" vertical="center" wrapText="1"/>
    </xf>
    <xf numFmtId="0" fontId="16" fillId="38" borderId="39" xfId="0" applyFont="1" applyFill="1" applyBorder="1" applyAlignment="1">
      <alignment horizontal="center" vertical="center" wrapText="1"/>
    </xf>
    <xf numFmtId="0" fontId="16" fillId="38" borderId="40" xfId="0" applyFont="1" applyFill="1" applyBorder="1" applyAlignment="1">
      <alignment horizontal="center" vertical="center" wrapText="1"/>
    </xf>
    <xf numFmtId="0" fontId="16" fillId="38" borderId="13" xfId="0" applyFont="1" applyFill="1" applyBorder="1" applyAlignment="1">
      <alignment horizontal="center" vertical="center" wrapText="1"/>
    </xf>
    <xf numFmtId="0" fontId="16" fillId="38" borderId="16" xfId="0" applyFont="1" applyFill="1" applyBorder="1" applyAlignment="1">
      <alignment horizontal="center" vertical="center" wrapText="1"/>
    </xf>
    <xf numFmtId="0" fontId="16" fillId="38" borderId="18" xfId="0" applyFont="1" applyFill="1" applyBorder="1" applyAlignment="1">
      <alignment horizontal="center" vertical="center" wrapText="1"/>
    </xf>
    <xf numFmtId="0" fontId="16" fillId="38" borderId="11" xfId="0" applyFont="1" applyFill="1" applyBorder="1" applyAlignment="1">
      <alignment horizontal="center" vertical="center" wrapText="1"/>
    </xf>
    <xf numFmtId="0" fontId="16" fillId="38" borderId="37" xfId="0" applyFont="1" applyFill="1" applyBorder="1" applyAlignment="1">
      <alignment horizontal="center" vertical="center" wrapText="1"/>
    </xf>
  </cellXfs>
  <cellStyles count="45">
    <cellStyle name="20% - Ênfase1" xfId="21" builtinId="30" customBuiltin="1"/>
    <cellStyle name="20% - Ênfase2" xfId="25" builtinId="34" customBuiltin="1"/>
    <cellStyle name="20% - Ênfase3" xfId="29" builtinId="38" customBuiltin="1"/>
    <cellStyle name="20% - Ênfase4" xfId="33" builtinId="42" customBuiltin="1"/>
    <cellStyle name="20% - Ênfase5" xfId="37" builtinId="46" customBuiltin="1"/>
    <cellStyle name="20% - Ênfase6" xfId="41" builtinId="50" customBuiltin="1"/>
    <cellStyle name="40% - Ênfase1" xfId="22" builtinId="31" customBuiltin="1"/>
    <cellStyle name="40% - Ênfase2" xfId="26" builtinId="35" customBuiltin="1"/>
    <cellStyle name="40% - Ênfase3" xfId="30" builtinId="39" customBuiltin="1"/>
    <cellStyle name="40% - Ênfase4" xfId="34" builtinId="43" customBuiltin="1"/>
    <cellStyle name="40% - Ênfase5" xfId="38" builtinId="47" customBuiltin="1"/>
    <cellStyle name="40% - Ênfase6" xfId="42" builtinId="51" customBuiltin="1"/>
    <cellStyle name="60% - Ênfase1" xfId="23" builtinId="32" customBuiltin="1"/>
    <cellStyle name="60% - Ênfase2" xfId="27" builtinId="36" customBuiltin="1"/>
    <cellStyle name="60% - Ênfase3" xfId="31" builtinId="40" customBuiltin="1"/>
    <cellStyle name="60% - Ênfase4" xfId="35" builtinId="44" customBuiltin="1"/>
    <cellStyle name="60% - Ênfase5" xfId="39" builtinId="48" customBuiltin="1"/>
    <cellStyle name="60% - Ênfase6" xfId="43" builtinId="52" customBuiltin="1"/>
    <cellStyle name="Bom" xfId="8" builtinId="26" customBuiltin="1"/>
    <cellStyle name="Cálculo" xfId="13" builtinId="22" customBuiltin="1"/>
    <cellStyle name="Célula de Verificação" xfId="15" builtinId="23" customBuiltin="1"/>
    <cellStyle name="Célula Vinculada" xfId="14" builtinId="24" customBuiltin="1"/>
    <cellStyle name="Ênfase1" xfId="20" builtinId="29" customBuiltin="1"/>
    <cellStyle name="Ênfase2" xfId="24" builtinId="33" customBuiltin="1"/>
    <cellStyle name="Ênfase3" xfId="28" builtinId="37" customBuiltin="1"/>
    <cellStyle name="Ênfase4" xfId="32" builtinId="41" customBuiltin="1"/>
    <cellStyle name="Ênfase5" xfId="36" builtinId="45" customBuiltin="1"/>
    <cellStyle name="Ênfase6" xfId="40" builtinId="49" customBuiltin="1"/>
    <cellStyle name="Entrada" xfId="11" builtinId="20" customBuiltin="1"/>
    <cellStyle name="Hiperlink" xfId="44" builtinId="8"/>
    <cellStyle name="Moeda" xfId="1" builtinId="4"/>
    <cellStyle name="Neutro" xfId="10" builtinId="28" customBuiltin="1"/>
    <cellStyle name="Normal" xfId="0" builtinId="0"/>
    <cellStyle name="Nota" xfId="17" builtinId="10" customBuiltin="1"/>
    <cellStyle name="Porcentagem" xfId="2" builtinId="5"/>
    <cellStyle name="Ruim" xfId="9" builtinId="27" customBuiltin="1"/>
    <cellStyle name="Saída" xfId="12" builtinId="21" customBuiltin="1"/>
    <cellStyle name="Texto de Aviso" xfId="16" builtinId="11" customBuiltin="1"/>
    <cellStyle name="Texto Explicativo" xfId="18" builtinId="53" customBuiltin="1"/>
    <cellStyle name="Título" xfId="3" builtinId="15" customBuiltin="1"/>
    <cellStyle name="Título 1" xfId="4" builtinId="16" customBuiltin="1"/>
    <cellStyle name="Título 2" xfId="5" builtinId="17" customBuiltin="1"/>
    <cellStyle name="Título 3" xfId="6" builtinId="18" customBuiltin="1"/>
    <cellStyle name="Título 4" xfId="7" builtinId="19" customBuiltin="1"/>
    <cellStyle name="Total" xfId="19" builtinId="25" customBuiltin="1"/>
  </cellStyles>
  <dxfs count="0"/>
  <tableStyles count="0" defaultTableStyle="TableStyleMedium2" defaultPivotStyle="PivotStyleLight16"/>
  <colors>
    <mruColors>
      <color rgb="FF2865AF"/>
      <color rgb="FF00AFB0"/>
      <color rgb="FFFFEEB7"/>
      <color rgb="FFC5F0FF"/>
      <color rgb="FFFFA3A3"/>
      <color rgb="FFBAE18F"/>
      <color rgb="FFE2F0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770495337951148E-2"/>
          <c:y val="1.32858223196834E-2"/>
          <c:w val="0.95440104593976083"/>
          <c:h val="0.95166763130797238"/>
        </c:manualLayout>
      </c:layout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0273619323455295E-2"/>
                  <c:y val="-6.0388071927962125E-2"/>
                </c:manualLayout>
              </c:layout>
              <c:tx>
                <c:rich>
                  <a:bodyPr/>
                  <a:lstStyle/>
                  <a:p>
                    <a:fld id="{1B53EB5B-F434-4050-9512-524269390CEF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AB1-4B05-BF80-522511302DE2}"/>
                </c:ext>
              </c:extLst>
            </c:dLbl>
            <c:dLbl>
              <c:idx val="1"/>
              <c:layout>
                <c:manualLayout>
                  <c:x val="-0.23747540708244555"/>
                  <c:y val="2.6947912481939647E-3"/>
                </c:manualLayout>
              </c:layout>
              <c:tx>
                <c:rich>
                  <a:bodyPr/>
                  <a:lstStyle/>
                  <a:p>
                    <a:fld id="{24B5B9D1-0839-43D6-AC43-A35266B80748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AB1-4B05-BF80-522511302DE2}"/>
                </c:ext>
              </c:extLst>
            </c:dLbl>
            <c:dLbl>
              <c:idx val="2"/>
              <c:layout>
                <c:manualLayout>
                  <c:x val="-0.15415616516963199"/>
                  <c:y val="-0.1194393662400975"/>
                </c:manualLayout>
              </c:layout>
              <c:tx>
                <c:rich>
                  <a:bodyPr/>
                  <a:lstStyle/>
                  <a:p>
                    <a:fld id="{AE2ECD5C-AFF5-4C8D-BB78-AB74EA8115F9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AB1-4B05-BF80-522511302DE2}"/>
                </c:ext>
              </c:extLst>
            </c:dLbl>
            <c:dLbl>
              <c:idx val="3"/>
              <c:layout>
                <c:manualLayout>
                  <c:x val="-8.7736216898806549E-2"/>
                  <c:y val="1.106736657917708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299ECB2-8AE4-4644-8DAB-CDEDE280E87B}" type="CELLRANGE">
                      <a:rPr lang="en-US" sz="1050">
                        <a:solidFill>
                          <a:schemeClr val="bg1"/>
                        </a:solidFill>
                      </a:rPr>
                      <a:pPr>
                        <a:defRPr sz="1050">
                          <a:solidFill>
                            <a:schemeClr val="bg1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AB1-4B05-BF80-522511302DE2}"/>
                </c:ext>
              </c:extLst>
            </c:dLbl>
            <c:dLbl>
              <c:idx val="4"/>
              <c:layout>
                <c:manualLayout>
                  <c:x val="1.0579344668504149E-2"/>
                  <c:y val="-0.14625228519195616"/>
                </c:manualLayout>
              </c:layout>
              <c:tx>
                <c:rich>
                  <a:bodyPr/>
                  <a:lstStyle/>
                  <a:p>
                    <a:fld id="{91F40B35-FDA2-4959-84AB-7F113F7B4478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AB1-4B05-BF80-522511302DE2}"/>
                </c:ext>
              </c:extLst>
            </c:dLbl>
            <c:dLbl>
              <c:idx val="5"/>
              <c:layout>
                <c:manualLayout>
                  <c:x val="-0.14283565084903244"/>
                  <c:y val="3.5514456526872802E-2"/>
                </c:manualLayout>
              </c:layout>
              <c:tx>
                <c:rich>
                  <a:bodyPr/>
                  <a:lstStyle/>
                  <a:p>
                    <a:fld id="{F7F294DA-236C-40C3-A953-A2C2023E904D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AB1-4B05-BF80-522511302DE2}"/>
                </c:ext>
              </c:extLst>
            </c:dLbl>
            <c:dLbl>
              <c:idx val="6"/>
              <c:layout>
                <c:manualLayout>
                  <c:x val="6.4827581667944566E-4"/>
                  <c:y val="7.1868055409871123E-2"/>
                </c:manualLayout>
              </c:layout>
              <c:tx>
                <c:rich>
                  <a:bodyPr/>
                  <a:lstStyle/>
                  <a:p>
                    <a:fld id="{6528CDC4-7DB4-42AB-9C21-2B72632DCC81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AB1-4B05-BF80-522511302DE2}"/>
                </c:ext>
              </c:extLst>
            </c:dLbl>
            <c:dLbl>
              <c:idx val="7"/>
              <c:layout>
                <c:manualLayout>
                  <c:x val="-5.7311388007026162E-2"/>
                  <c:y val="2.6733639500629001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9406191-2154-4060-81D2-DDFFC9E4BA07}" type="CELLRANGE">
                      <a:rPr lang="en-US" sz="1050">
                        <a:solidFill>
                          <a:schemeClr val="bg1"/>
                        </a:solidFill>
                      </a:rPr>
                      <a:pPr>
                        <a:defRPr sz="1050">
                          <a:solidFill>
                            <a:schemeClr val="bg1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4654271259147366E-2"/>
                      <c:h val="3.84468551962263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5AB1-4B05-BF80-522511302DE2}"/>
                </c:ext>
              </c:extLst>
            </c:dLbl>
            <c:dLbl>
              <c:idx val="8"/>
              <c:layout>
                <c:manualLayout>
                  <c:x val="-0.2602211463250515"/>
                  <c:y val="9.9390129733875794E-3"/>
                </c:manualLayout>
              </c:layout>
              <c:tx>
                <c:rich>
                  <a:bodyPr/>
                  <a:lstStyle/>
                  <a:p>
                    <a:fld id="{7ADBB5EA-8DE3-4967-974F-7D951BAF4F14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5AB1-4B05-BF80-522511302DE2}"/>
                </c:ext>
              </c:extLst>
            </c:dLbl>
            <c:dLbl>
              <c:idx val="9"/>
              <c:layout>
                <c:manualLayout>
                  <c:x val="1.2272815524395903E-2"/>
                  <c:y val="1.8396513385947232E-2"/>
                </c:manualLayout>
              </c:layout>
              <c:tx>
                <c:rich>
                  <a:bodyPr/>
                  <a:lstStyle/>
                  <a:p>
                    <a:fld id="{A4DA6E82-87B4-464D-BA35-A4A5EBA8B6A4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5AB1-4B05-BF80-522511302DE2}"/>
                </c:ext>
              </c:extLst>
            </c:dLbl>
            <c:dLbl>
              <c:idx val="10"/>
              <c:layout>
                <c:manualLayout>
                  <c:x val="-4.621329519126998E-2"/>
                  <c:y val="3.3230261672184103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76BD3E9-31E7-4341-BA8A-C650C6768395}" type="CELLRANGE">
                      <a:rPr lang="en-US" sz="1050">
                        <a:solidFill>
                          <a:schemeClr val="bg1"/>
                        </a:solidFill>
                      </a:rPr>
                      <a:pPr>
                        <a:defRPr sz="1050">
                          <a:solidFill>
                            <a:schemeClr val="bg1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5AB1-4B05-BF80-522511302DE2}"/>
                </c:ext>
              </c:extLst>
            </c:dLbl>
            <c:dLbl>
              <c:idx val="11"/>
              <c:layout>
                <c:manualLayout>
                  <c:x val="-0.11447483578133406"/>
                  <c:y val="4.9866146697565304E-2"/>
                </c:manualLayout>
              </c:layout>
              <c:tx>
                <c:rich>
                  <a:bodyPr/>
                  <a:lstStyle/>
                  <a:p>
                    <a:fld id="{A7FE777E-A3C6-456B-8795-B6507E324FF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5AB1-4B05-BF80-522511302DE2}"/>
                </c:ext>
              </c:extLst>
            </c:dLbl>
            <c:dLbl>
              <c:idx val="12"/>
              <c:layout>
                <c:manualLayout>
                  <c:x val="4.9673723110538592E-3"/>
                  <c:y val="3.6448731599307727E-2"/>
                </c:manualLayout>
              </c:layout>
              <c:tx>
                <c:rich>
                  <a:bodyPr/>
                  <a:lstStyle/>
                  <a:p>
                    <a:fld id="{39E6BE09-CCB4-465A-9ED3-4E585E0751E7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5AB1-4B05-BF80-522511302DE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AC5B0DA-7B81-AD40-B32E-AF7553B781CD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AB1-4B05-BF80-522511302DE2}"/>
                </c:ext>
              </c:extLst>
            </c:dLbl>
            <c:dLbl>
              <c:idx val="14"/>
              <c:layout>
                <c:manualLayout>
                  <c:x val="-7.5566747632172492E-3"/>
                  <c:y val="7.3126142595978064E-2"/>
                </c:manualLayout>
              </c:layout>
              <c:tx>
                <c:rich>
                  <a:bodyPr/>
                  <a:lstStyle/>
                  <a:p>
                    <a:fld id="{66697BC1-6993-4E9F-9BB4-7E509E1B600D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5AB1-4B05-BF80-522511302DE2}"/>
                </c:ext>
              </c:extLst>
            </c:dLbl>
            <c:dLbl>
              <c:idx val="15"/>
              <c:layout>
                <c:manualLayout>
                  <c:x val="-7.2603600727911735E-2"/>
                  <c:y val="6.6042298383989076E-2"/>
                </c:manualLayout>
              </c:layout>
              <c:tx>
                <c:rich>
                  <a:bodyPr/>
                  <a:lstStyle/>
                  <a:p>
                    <a:fld id="{21FD2655-5A58-47D4-A4B2-DA9784BADB42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5AB1-4B05-BF80-522511302DE2}"/>
                </c:ext>
              </c:extLst>
            </c:dLbl>
            <c:dLbl>
              <c:idx val="16"/>
              <c:layout>
                <c:manualLayout>
                  <c:x val="9.9690353342003143E-3"/>
                  <c:y val="5.6980056980056926E-2"/>
                </c:manualLayout>
              </c:layout>
              <c:tx>
                <c:rich>
                  <a:bodyPr/>
                  <a:lstStyle/>
                  <a:p>
                    <a:fld id="{2371F6D7-0D02-4F84-9DD0-7BA01D73D419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5AB1-4B05-BF80-522511302DE2}"/>
                </c:ext>
              </c:extLst>
            </c:dLbl>
            <c:dLbl>
              <c:idx val="17"/>
              <c:layout>
                <c:manualLayout>
                  <c:x val="-0.10085553521814532"/>
                  <c:y val="1.8658464910219059E-2"/>
                </c:manualLayout>
              </c:layout>
              <c:tx>
                <c:rich>
                  <a:bodyPr/>
                  <a:lstStyle/>
                  <a:p>
                    <a:fld id="{2D67D586-991B-452D-9F1C-E0BF2176B5CD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5AB1-4B05-BF80-522511302DE2}"/>
                </c:ext>
              </c:extLst>
            </c:dLbl>
            <c:dLbl>
              <c:idx val="18"/>
              <c:layout>
                <c:manualLayout>
                  <c:x val="2.3736395114309583E-2"/>
                  <c:y val="1.1239907994996108E-2"/>
                </c:manualLayout>
              </c:layout>
              <c:tx>
                <c:rich>
                  <a:bodyPr/>
                  <a:lstStyle/>
                  <a:p>
                    <a:fld id="{6D0C9E31-90EA-4430-B15C-453FF7368CD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5AB1-4B05-BF80-522511302DE2}"/>
                </c:ext>
              </c:extLst>
            </c:dLbl>
            <c:dLbl>
              <c:idx val="19"/>
              <c:layout>
                <c:manualLayout>
                  <c:x val="1.0001990182434277E-2"/>
                  <c:y val="1.3732878775453471E-2"/>
                </c:manualLayout>
              </c:layout>
              <c:tx>
                <c:rich>
                  <a:bodyPr/>
                  <a:lstStyle/>
                  <a:p>
                    <a:fld id="{A08EF743-5428-4514-BAE0-38FD045B084D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5AB1-4B05-BF80-522511302DE2}"/>
                </c:ext>
              </c:extLst>
            </c:dLbl>
            <c:dLbl>
              <c:idx val="20"/>
              <c:layout>
                <c:manualLayout>
                  <c:x val="1.251354032279872E-2"/>
                  <c:y val="3.3233066292357276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4F2352E-7908-4B92-8BED-18A5722329CF}" type="CELLRANGE">
                      <a:rPr lang="en-US"/>
                      <a:pPr>
                        <a:defRPr sz="1050"/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132496789024502E-2"/>
                      <c:h val="6.258397733956645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5AB1-4B05-BF80-522511302DE2}"/>
                </c:ext>
              </c:extLst>
            </c:dLbl>
            <c:dLbl>
              <c:idx val="21"/>
              <c:layout>
                <c:manualLayout>
                  <c:x val="-4.9876599100677099E-2"/>
                  <c:y val="4.4467813786233873E-3"/>
                </c:manualLayout>
              </c:layout>
              <c:tx>
                <c:rich>
                  <a:bodyPr/>
                  <a:lstStyle/>
                  <a:p>
                    <a:fld id="{2E58D009-6FF6-4110-AC12-0E855BAD608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5AB1-4B05-BF80-522511302DE2}"/>
                </c:ext>
              </c:extLst>
            </c:dLbl>
            <c:dLbl>
              <c:idx val="22"/>
              <c:layout>
                <c:manualLayout>
                  <c:x val="3.1850072732511896E-3"/>
                  <c:y val="-3.1665283614971422E-3"/>
                </c:manualLayout>
              </c:layout>
              <c:tx>
                <c:rich>
                  <a:bodyPr/>
                  <a:lstStyle/>
                  <a:p>
                    <a:fld id="{F7D00310-67E2-4CFB-8883-724EDA37692E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5AB1-4B05-BF80-522511302DE2}"/>
                </c:ext>
              </c:extLst>
            </c:dLbl>
            <c:dLbl>
              <c:idx val="23"/>
              <c:layout>
                <c:manualLayout>
                  <c:x val="-0.12760825140224877"/>
                  <c:y val="-2.2196885906816759E-3"/>
                </c:manualLayout>
              </c:layout>
              <c:tx>
                <c:rich>
                  <a:bodyPr/>
                  <a:lstStyle/>
                  <a:p>
                    <a:fld id="{40C347A0-87A9-4D23-BAAE-54107BF00D83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5AB1-4B05-BF80-522511302DE2}"/>
                </c:ext>
              </c:extLst>
            </c:dLbl>
            <c:dLbl>
              <c:idx val="24"/>
              <c:layout>
                <c:manualLayout>
                  <c:x val="-0.17012447153216434"/>
                  <c:y val="5.3204766552951361E-3"/>
                </c:manualLayout>
              </c:layout>
              <c:tx>
                <c:rich>
                  <a:bodyPr/>
                  <a:lstStyle/>
                  <a:p>
                    <a:fld id="{A8A27FA5-3508-464E-9E40-1AA4CB7E7F91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5AB1-4B05-BF80-522511302DE2}"/>
                </c:ext>
              </c:extLst>
            </c:dLbl>
            <c:dLbl>
              <c:idx val="25"/>
              <c:layout>
                <c:manualLayout>
                  <c:x val="2.1158689337008298E-2"/>
                  <c:y val="4.8750761730651994E-2"/>
                </c:manualLayout>
              </c:layout>
              <c:tx>
                <c:rich>
                  <a:bodyPr/>
                  <a:lstStyle/>
                  <a:p>
                    <a:fld id="{789AA2EB-6FCC-40A7-AD3C-5AECB3A66F4A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5AB1-4B05-BF80-522511302DE2}"/>
                </c:ext>
              </c:extLst>
            </c:dLbl>
            <c:dLbl>
              <c:idx val="26"/>
              <c:layout>
                <c:manualLayout>
                  <c:x val="-6.4016628825539185E-2"/>
                  <c:y val="3.40912800656685E-2"/>
                </c:manualLayout>
              </c:layout>
              <c:tx>
                <c:rich>
                  <a:bodyPr/>
                  <a:lstStyle/>
                  <a:p>
                    <a:fld id="{F3761781-3FF8-4B5E-998D-9CD2B63F0488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5AB1-4B05-BF80-522511302DE2}"/>
                </c:ext>
              </c:extLst>
            </c:dLbl>
            <c:dLbl>
              <c:idx val="27"/>
              <c:layout>
                <c:manualLayout>
                  <c:x val="-5.1341198575873694E-2"/>
                  <c:y val="4.2398962215847661E-3"/>
                </c:manualLayout>
              </c:layout>
              <c:tx>
                <c:rich>
                  <a:bodyPr/>
                  <a:lstStyle/>
                  <a:p>
                    <a:fld id="{594BDD7A-5427-4FD4-9C3F-62F998D60C98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5AB1-4B05-BF80-522511302DE2}"/>
                </c:ext>
              </c:extLst>
            </c:dLbl>
            <c:dLbl>
              <c:idx val="29"/>
              <c:layout>
                <c:manualLayout>
                  <c:x val="-1.1709455112086155E-2"/>
                  <c:y val="-4.8440614355414705E-2"/>
                </c:manualLayout>
              </c:layout>
              <c:tx>
                <c:rich>
                  <a:bodyPr/>
                  <a:lstStyle/>
                  <a:p>
                    <a:fld id="{762A6D1B-238B-4456-A02F-0D380EC8ED6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5AB1-4B05-BF80-522511302DE2}"/>
                </c:ext>
              </c:extLst>
            </c:dLbl>
            <c:dLbl>
              <c:idx val="30"/>
              <c:layout>
                <c:manualLayout>
                  <c:x val="-6.0277417982235439E-2"/>
                  <c:y val="6.9007118462556579E-3"/>
                </c:manualLayout>
              </c:layout>
              <c:tx>
                <c:rich>
                  <a:bodyPr/>
                  <a:lstStyle/>
                  <a:p>
                    <a:fld id="{9EF91A20-A731-4592-9AF4-AB66A0A909BA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5AB1-4B05-BF80-522511302DE2}"/>
                </c:ext>
              </c:extLst>
            </c:dLbl>
            <c:dLbl>
              <c:idx val="31"/>
              <c:layout>
                <c:manualLayout>
                  <c:x val="6.9578739007907159E-4"/>
                  <c:y val="-6.9812605376591605E-2"/>
                </c:manualLayout>
              </c:layout>
              <c:tx>
                <c:rich>
                  <a:bodyPr/>
                  <a:lstStyle/>
                  <a:p>
                    <a:fld id="{3A69BEEC-40DD-430E-A5D0-2CF773BA5F8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5AB1-4B05-BF80-522511302DE2}"/>
                </c:ext>
              </c:extLst>
            </c:dLbl>
            <c:dLbl>
              <c:idx val="32"/>
              <c:layout>
                <c:manualLayout>
                  <c:x val="-6.1595502502464899E-2"/>
                  <c:y val="-7.3809750048885051E-3"/>
                </c:manualLayout>
              </c:layout>
              <c:tx>
                <c:rich>
                  <a:bodyPr/>
                  <a:lstStyle/>
                  <a:p>
                    <a:fld id="{7F986345-C866-487E-8D47-621EDC771A2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5AB1-4B05-BF80-522511302DE2}"/>
                </c:ext>
              </c:extLst>
            </c:dLbl>
            <c:dLbl>
              <c:idx val="33"/>
              <c:layout>
                <c:manualLayout>
                  <c:x val="-0.12599729100544849"/>
                  <c:y val="7.9237138825220793E-2"/>
                </c:manualLayout>
              </c:layout>
              <c:tx>
                <c:rich>
                  <a:bodyPr/>
                  <a:lstStyle/>
                  <a:p>
                    <a:fld id="{032CD9E4-9FF8-4212-8ABE-30DA5D755F1A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5AB1-4B05-BF80-522511302DE2}"/>
                </c:ext>
              </c:extLst>
            </c:dLbl>
            <c:dLbl>
              <c:idx val="34"/>
              <c:layout>
                <c:manualLayout>
                  <c:x val="-0.14510609171800137"/>
                  <c:y val="-3.4193929164044921E-2"/>
                </c:manualLayout>
              </c:layout>
              <c:tx>
                <c:rich>
                  <a:bodyPr/>
                  <a:lstStyle/>
                  <a:p>
                    <a:fld id="{13B44FB0-F636-40A9-8532-ED42E4D08A2D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5AB1-4B05-BF80-522511302DE2}"/>
                </c:ext>
              </c:extLst>
            </c:dLbl>
            <c:dLbl>
              <c:idx val="35"/>
              <c:layout>
                <c:manualLayout>
                  <c:x val="-5.3825635695889253E-2"/>
                  <c:y val="5.0655815553817686E-2"/>
                </c:manualLayout>
              </c:layout>
              <c:tx>
                <c:rich>
                  <a:bodyPr/>
                  <a:lstStyle/>
                  <a:p>
                    <a:fld id="{3909F519-ABB6-4C19-92FB-510C4AC874CC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5AB1-4B05-BF80-522511302DE2}"/>
                </c:ext>
              </c:extLst>
            </c:dLbl>
            <c:dLbl>
              <c:idx val="36"/>
              <c:layout>
                <c:manualLayout>
                  <c:x val="2.5692694194938647E-2"/>
                  <c:y val="0"/>
                </c:manualLayout>
              </c:layout>
              <c:tx>
                <c:rich>
                  <a:bodyPr/>
                  <a:lstStyle/>
                  <a:p>
                    <a:fld id="{FED908F1-B1E7-444B-9BDD-81CBE7ACB905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5AB1-4B05-BF80-522511302DE2}"/>
                </c:ext>
              </c:extLst>
            </c:dLbl>
            <c:dLbl>
              <c:idx val="37"/>
              <c:layout>
                <c:manualLayout>
                  <c:x val="-4.410742291710456E-4"/>
                  <c:y val="2.8342369632559979E-3"/>
                </c:manualLayout>
              </c:layout>
              <c:tx>
                <c:rich>
                  <a:bodyPr/>
                  <a:lstStyle/>
                  <a:p>
                    <a:fld id="{539F12EC-AEC3-4F7F-AB2F-E11A4D2FB0D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5AB1-4B05-BF80-522511302DE2}"/>
                </c:ext>
              </c:extLst>
            </c:dLbl>
            <c:dLbl>
              <c:idx val="39"/>
              <c:layout>
                <c:manualLayout>
                  <c:x val="-4.622007291311056E-2"/>
                  <c:y val="-2.8490028490028491E-3"/>
                </c:manualLayout>
              </c:layout>
              <c:tx>
                <c:rich>
                  <a:bodyPr/>
                  <a:lstStyle/>
                  <a:p>
                    <a:fld id="{AA5C45A8-98FF-4EF7-9074-4509D2AE8851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5AB1-4B05-BF80-522511302DE2}"/>
                </c:ext>
              </c:extLst>
            </c:dLbl>
            <c:dLbl>
              <c:idx val="40"/>
              <c:layout>
                <c:manualLayout>
                  <c:x val="-3.4597268485339602E-2"/>
                  <c:y val="2.8503579200173931E-2"/>
                </c:manualLayout>
              </c:layout>
              <c:tx>
                <c:rich>
                  <a:bodyPr/>
                  <a:lstStyle/>
                  <a:p>
                    <a:fld id="{B9BD66B7-C7D8-49AC-820A-A36F0FC30952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5AB1-4B05-BF80-522511302DE2}"/>
                </c:ext>
              </c:extLst>
            </c:dLbl>
            <c:dLbl>
              <c:idx val="41"/>
              <c:layout>
                <c:manualLayout>
                  <c:x val="-9.945103299911337E-2"/>
                  <c:y val="7.8108671851923233E-3"/>
                </c:manualLayout>
              </c:layout>
              <c:tx>
                <c:rich>
                  <a:bodyPr/>
                  <a:lstStyle/>
                  <a:p>
                    <a:fld id="{11428978-AEBE-4DFE-ABA1-08AD27AEA874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5AB1-4B05-BF80-522511302DE2}"/>
                </c:ext>
              </c:extLst>
            </c:dLbl>
            <c:dLbl>
              <c:idx val="42"/>
              <c:layout>
                <c:manualLayout>
                  <c:x val="6.6481536300655756E-3"/>
                  <c:y val="-5.630555461756644E-3"/>
                </c:manualLayout>
              </c:layout>
              <c:tx>
                <c:rich>
                  <a:bodyPr/>
                  <a:lstStyle/>
                  <a:p>
                    <a:fld id="{AB5188EF-2BBF-451E-887C-7EFFBE38B80E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5AB1-4B05-BF80-522511302DE2}"/>
                </c:ext>
              </c:extLst>
            </c:dLbl>
            <c:dLbl>
              <c:idx val="43"/>
              <c:layout>
                <c:manualLayout>
                  <c:x val="-1.5113349526434498E-3"/>
                  <c:y val="4.1438147471054232E-2"/>
                </c:manualLayout>
              </c:layout>
              <c:tx>
                <c:rich>
                  <a:bodyPr/>
                  <a:lstStyle/>
                  <a:p>
                    <a:fld id="{0C113437-BA72-4E76-93B8-8C9173075F2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5AB1-4B05-BF80-522511302DE2}"/>
                </c:ext>
              </c:extLst>
            </c:dLbl>
            <c:dLbl>
              <c:idx val="44"/>
              <c:layout>
                <c:manualLayout>
                  <c:x val="-4.5630846452201692E-3"/>
                  <c:y val="-1.2822723436516805E-2"/>
                </c:manualLayout>
              </c:layout>
              <c:tx>
                <c:rich>
                  <a:bodyPr/>
                  <a:lstStyle/>
                  <a:p>
                    <a:fld id="{0A92C0A4-A73B-4631-829D-1D1F66B1496D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6C9B-4926-8524-CF7882587C8C}"/>
                </c:ext>
              </c:extLst>
            </c:dLbl>
            <c:dLbl>
              <c:idx val="45"/>
              <c:layout>
                <c:manualLayout>
                  <c:x val="-4.4542529168477236E-2"/>
                  <c:y val="-3.8468170309550416E-2"/>
                </c:manualLayout>
              </c:layout>
              <c:tx>
                <c:rich>
                  <a:bodyPr/>
                  <a:lstStyle/>
                  <a:p>
                    <a:fld id="{6764710F-36E7-4819-BC26-C43458A6E02D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6C9B-4926-8524-CF7882587C8C}"/>
                </c:ext>
              </c:extLst>
            </c:dLbl>
            <c:dLbl>
              <c:idx val="47"/>
              <c:layout>
                <c:manualLayout>
                  <c:x val="1.0902365312508003E-2"/>
                  <c:y val="-9.9732293395130706E-3"/>
                </c:manualLayout>
              </c:layout>
              <c:tx>
                <c:rich>
                  <a:bodyPr/>
                  <a:lstStyle/>
                  <a:p>
                    <a:fld id="{4069415D-65AB-4008-A5DE-96AA4F239479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6C9B-4926-8524-CF7882587C8C}"/>
                </c:ext>
              </c:extLst>
            </c:dLbl>
            <c:dLbl>
              <c:idx val="48"/>
              <c:layout>
                <c:manualLayout>
                  <c:x val="6.388318503308169E-3"/>
                  <c:y val="-2.9919688018539212E-2"/>
                </c:manualLayout>
              </c:layout>
              <c:tx>
                <c:rich>
                  <a:bodyPr/>
                  <a:lstStyle/>
                  <a:p>
                    <a:fld id="{07ED9452-B894-4177-B395-A16476190CF9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6C9B-4926-8524-CF7882587C8C}"/>
                </c:ext>
              </c:extLst>
            </c:dLbl>
            <c:dLbl>
              <c:idx val="49"/>
              <c:layout>
                <c:manualLayout>
                  <c:x val="-0.15546364712624477"/>
                  <c:y val="4.8441399649063487E-2"/>
                </c:manualLayout>
              </c:layout>
              <c:tx>
                <c:rich>
                  <a:bodyPr/>
                  <a:lstStyle/>
                  <a:p>
                    <a:fld id="{1CDF8931-F78B-4147-A308-720758898DB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6C9B-4926-8524-CF7882587C8C}"/>
                </c:ext>
              </c:extLst>
            </c:dLbl>
            <c:dLbl>
              <c:idx val="51"/>
              <c:layout>
                <c:manualLayout>
                  <c:x val="1.8252338580880675E-3"/>
                  <c:y val="1.7096964582022409E-2"/>
                </c:manualLayout>
              </c:layout>
              <c:tx>
                <c:rich>
                  <a:bodyPr/>
                  <a:lstStyle/>
                  <a:p>
                    <a:fld id="{862E05C7-148A-4F39-BF7B-9F49D7974133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6C9B-4926-8524-CF7882587C8C}"/>
                </c:ext>
              </c:extLst>
            </c:dLbl>
            <c:dLbl>
              <c:idx val="52"/>
              <c:layout>
                <c:manualLayout>
                  <c:x val="-5.638611771206567E-2"/>
                  <c:y val="2.564544687303361E-2"/>
                </c:manualLayout>
              </c:layout>
              <c:tx>
                <c:rich>
                  <a:bodyPr/>
                  <a:lstStyle/>
                  <a:p>
                    <a:fld id="{3801EA20-E4C7-453B-85EF-CBAAC859E2CF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6C9B-4926-8524-CF7882587C8C}"/>
                </c:ext>
              </c:extLst>
            </c:dLbl>
            <c:dLbl>
              <c:idx val="53"/>
              <c:layout>
                <c:manualLayout>
                  <c:x val="-5.8162258958646629E-2"/>
                  <c:y val="2.9919688018539212E-2"/>
                </c:manualLayout>
              </c:layout>
              <c:tx>
                <c:rich>
                  <a:bodyPr/>
                  <a:lstStyle/>
                  <a:p>
                    <a:fld id="{4FB37D20-A170-4902-9A4B-93CAF5752FB7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6C9B-4926-8524-CF7882587C8C}"/>
                </c:ext>
              </c:extLst>
            </c:dLbl>
            <c:dLbl>
              <c:idx val="54"/>
              <c:layout>
                <c:manualLayout>
                  <c:x val="-6.2688600546921006E-2"/>
                  <c:y val="1.8521711630524275E-2"/>
                </c:manualLayout>
              </c:layout>
              <c:tx>
                <c:rich>
                  <a:bodyPr/>
                  <a:lstStyle/>
                  <a:p>
                    <a:fld id="{E988CD3B-255E-453F-949C-EC217214EA4F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6C9B-4926-8524-CF7882587C8C}"/>
                </c:ext>
              </c:extLst>
            </c:dLbl>
            <c:dLbl>
              <c:idx val="55"/>
              <c:layout>
                <c:manualLayout>
                  <c:x val="-0.12779087419000759"/>
                  <c:y val="-2.4220699824531743E-2"/>
                </c:manualLayout>
              </c:layout>
              <c:tx>
                <c:rich>
                  <a:bodyPr/>
                  <a:lstStyle/>
                  <a:p>
                    <a:fld id="{F2941BEF-126C-4D4F-B509-3061E3BAFEBE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C9B-4926-8524-CF7882587C8C}"/>
                </c:ext>
              </c:extLst>
            </c:dLbl>
            <c:dLbl>
              <c:idx val="56"/>
              <c:layout>
                <c:manualLayout>
                  <c:x val="-9.9938348697990037E-2"/>
                  <c:y val="4.2742411455056022E-3"/>
                </c:manualLayout>
              </c:layout>
              <c:tx>
                <c:rich>
                  <a:bodyPr/>
                  <a:lstStyle/>
                  <a:p>
                    <a:fld id="{18627790-78F5-4499-9B6D-E5AEE975F983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6C9B-4926-8524-CF7882587C8C}"/>
                </c:ext>
              </c:extLst>
            </c:dLbl>
            <c:dLbl>
              <c:idx val="58"/>
              <c:layout>
                <c:manualLayout>
                  <c:x val="-1.8170608854180005E-3"/>
                  <c:y val="-3.5618676212546788E-2"/>
                </c:manualLayout>
              </c:layout>
              <c:tx>
                <c:rich>
                  <a:bodyPr/>
                  <a:lstStyle/>
                  <a:p>
                    <a:fld id="{BB47CE8A-46FC-497E-9E51-A2F362DE256D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6C9B-4926-8524-CF7882587C8C}"/>
                </c:ext>
              </c:extLst>
            </c:dLbl>
            <c:dLbl>
              <c:idx val="59"/>
              <c:layout>
                <c:manualLayout>
                  <c:x val="-8.0359303044120672E-2"/>
                  <c:y val="-2.2795952776029981E-2"/>
                </c:manualLayout>
              </c:layout>
              <c:tx>
                <c:rich>
                  <a:bodyPr/>
                  <a:lstStyle/>
                  <a:p>
                    <a:fld id="{A58CF9BF-2FC8-4F5D-81B6-51135B227FB9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C9B-4926-8524-CF7882587C8C}"/>
                </c:ext>
              </c:extLst>
            </c:dLbl>
            <c:dLbl>
              <c:idx val="60"/>
              <c:layout>
                <c:manualLayout>
                  <c:x val="-1.8252338580880675E-3"/>
                  <c:y val="1.1397976388014834E-2"/>
                </c:manualLayout>
              </c:layout>
              <c:tx>
                <c:rich>
                  <a:bodyPr/>
                  <a:lstStyle/>
                  <a:p>
                    <a:fld id="{2E657FF2-9E67-4772-974A-8EE0807B0BA8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6C9B-4926-8524-CF7882587C8C}"/>
                </c:ext>
              </c:extLst>
            </c:dLbl>
            <c:dLbl>
              <c:idx val="62"/>
              <c:layout>
                <c:manualLayout>
                  <c:x val="6.3597130989629684E-3"/>
                  <c:y val="-1.8521711630524379E-2"/>
                </c:manualLayout>
              </c:layout>
              <c:tx>
                <c:rich>
                  <a:bodyPr/>
                  <a:lstStyle/>
                  <a:p>
                    <a:fld id="{19E410B7-EEBF-4DC5-AECC-9A16168EB281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6C9B-4926-8524-CF7882587C8C}"/>
                </c:ext>
              </c:extLst>
            </c:dLbl>
            <c:dLbl>
              <c:idx val="65"/>
              <c:layout>
                <c:manualLayout>
                  <c:x val="-6.7231252760466015E-2"/>
                  <c:y val="3.5618676212546475E-2"/>
                </c:manualLayout>
              </c:layout>
              <c:tx>
                <c:rich>
                  <a:bodyPr/>
                  <a:lstStyle/>
                  <a:p>
                    <a:fld id="{4BF5B3DF-C289-4223-9D59-52C8E69F94A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6C9B-4926-8524-CF7882587C8C}"/>
                </c:ext>
              </c:extLst>
            </c:dLbl>
            <c:dLbl>
              <c:idx val="66"/>
              <c:layout>
                <c:manualLayout>
                  <c:x val="-7.1773904974011038E-2"/>
                  <c:y val="6.5538364231085791E-2"/>
                </c:manualLayout>
              </c:layout>
              <c:tx>
                <c:rich>
                  <a:bodyPr/>
                  <a:lstStyle/>
                  <a:p>
                    <a:fld id="{352CB214-775D-43CE-B5BA-52956866621A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6C9B-4926-8524-CF7882587C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'Resumo Dados'!$E$4:$E$26</c:f>
              <c:numCache>
                <c:formatCode>0.00</c:formatCode>
                <c:ptCount val="23"/>
                <c:pt idx="0">
                  <c:v>3.75</c:v>
                </c:pt>
                <c:pt idx="1">
                  <c:v>3.5</c:v>
                </c:pt>
                <c:pt idx="2">
                  <c:v>3.75</c:v>
                </c:pt>
                <c:pt idx="3">
                  <c:v>1.5</c:v>
                </c:pt>
                <c:pt idx="4">
                  <c:v>3.5</c:v>
                </c:pt>
                <c:pt idx="5">
                  <c:v>2.5</c:v>
                </c:pt>
                <c:pt idx="6">
                  <c:v>4</c:v>
                </c:pt>
                <c:pt idx="7">
                  <c:v>2.25</c:v>
                </c:pt>
                <c:pt idx="8">
                  <c:v>3.75</c:v>
                </c:pt>
                <c:pt idx="9">
                  <c:v>3</c:v>
                </c:pt>
                <c:pt idx="10">
                  <c:v>3</c:v>
                </c:pt>
                <c:pt idx="11">
                  <c:v>1.5</c:v>
                </c:pt>
                <c:pt idx="12">
                  <c:v>1.75</c:v>
                </c:pt>
                <c:pt idx="13">
                  <c:v>1.75</c:v>
                </c:pt>
                <c:pt idx="14">
                  <c:v>1.75</c:v>
                </c:pt>
                <c:pt idx="15">
                  <c:v>2.75</c:v>
                </c:pt>
                <c:pt idx="16">
                  <c:v>1.75</c:v>
                </c:pt>
                <c:pt idx="17">
                  <c:v>1.25</c:v>
                </c:pt>
                <c:pt idx="18">
                  <c:v>1.25</c:v>
                </c:pt>
                <c:pt idx="19">
                  <c:v>1.5</c:v>
                </c:pt>
                <c:pt idx="20">
                  <c:v>3</c:v>
                </c:pt>
                <c:pt idx="21">
                  <c:v>1</c:v>
                </c:pt>
                <c:pt idx="22">
                  <c:v>1.5</c:v>
                </c:pt>
              </c:numCache>
            </c:numRef>
          </c:xVal>
          <c:yVal>
            <c:numRef>
              <c:f>'Resumo Dados'!$F$4:$F$26</c:f>
              <c:numCache>
                <c:formatCode>0.00</c:formatCode>
                <c:ptCount val="23"/>
                <c:pt idx="0">
                  <c:v>3.55</c:v>
                </c:pt>
                <c:pt idx="1">
                  <c:v>4</c:v>
                </c:pt>
                <c:pt idx="2">
                  <c:v>3.55</c:v>
                </c:pt>
                <c:pt idx="3">
                  <c:v>3.0999999999999996</c:v>
                </c:pt>
                <c:pt idx="4">
                  <c:v>3.6999999999999997</c:v>
                </c:pt>
                <c:pt idx="5">
                  <c:v>2.5</c:v>
                </c:pt>
                <c:pt idx="6">
                  <c:v>3.4</c:v>
                </c:pt>
                <c:pt idx="7">
                  <c:v>2.95</c:v>
                </c:pt>
                <c:pt idx="8">
                  <c:v>3.55</c:v>
                </c:pt>
                <c:pt idx="9">
                  <c:v>3.0999999999999996</c:v>
                </c:pt>
                <c:pt idx="10">
                  <c:v>3.0999999999999996</c:v>
                </c:pt>
                <c:pt idx="11">
                  <c:v>2.85</c:v>
                </c:pt>
                <c:pt idx="12">
                  <c:v>2.85</c:v>
                </c:pt>
                <c:pt idx="13">
                  <c:v>3.0000000000000004</c:v>
                </c:pt>
                <c:pt idx="14">
                  <c:v>2.1</c:v>
                </c:pt>
                <c:pt idx="15">
                  <c:v>2.4</c:v>
                </c:pt>
                <c:pt idx="16">
                  <c:v>2.4</c:v>
                </c:pt>
                <c:pt idx="17">
                  <c:v>1.55</c:v>
                </c:pt>
                <c:pt idx="18">
                  <c:v>1.55</c:v>
                </c:pt>
                <c:pt idx="19">
                  <c:v>1.6999999999999997</c:v>
                </c:pt>
                <c:pt idx="20">
                  <c:v>2.2999999999999998</c:v>
                </c:pt>
                <c:pt idx="21">
                  <c:v>1.7499999999999998</c:v>
                </c:pt>
                <c:pt idx="22">
                  <c:v>1.2999999999999998</c:v>
                </c:pt>
              </c:numCache>
            </c:numRef>
          </c:yVal>
          <c:bubbleSize>
            <c:numRef>
              <c:f>'Resumo Dados'!$D$4:$D$26</c:f>
              <c:numCache>
                <c:formatCode>_-"R$"\ * #,##0.00_-;\-"R$"\ * #,##0.00_-;_-"R$"\ * "-"??_-;_-@_-</c:formatCode>
                <c:ptCount val="23"/>
                <c:pt idx="0">
                  <c:v>59.99798019</c:v>
                </c:pt>
                <c:pt idx="1">
                  <c:v>40</c:v>
                </c:pt>
                <c:pt idx="2">
                  <c:v>31</c:v>
                </c:pt>
                <c:pt idx="3">
                  <c:v>27.023904289999997</c:v>
                </c:pt>
                <c:pt idx="4">
                  <c:v>27.4</c:v>
                </c:pt>
                <c:pt idx="5">
                  <c:v>10</c:v>
                </c:pt>
                <c:pt idx="6">
                  <c:v>10.5</c:v>
                </c:pt>
                <c:pt idx="7">
                  <c:v>9</c:v>
                </c:pt>
                <c:pt idx="8">
                  <c:v>7.7</c:v>
                </c:pt>
                <c:pt idx="9">
                  <c:v>7.5</c:v>
                </c:pt>
                <c:pt idx="10">
                  <c:v>5</c:v>
                </c:pt>
                <c:pt idx="11">
                  <c:v>4</c:v>
                </c:pt>
                <c:pt idx="12">
                  <c:v>4.5</c:v>
                </c:pt>
                <c:pt idx="13">
                  <c:v>3.5</c:v>
                </c:pt>
                <c:pt idx="14">
                  <c:v>3</c:v>
                </c:pt>
                <c:pt idx="15">
                  <c:v>2.5</c:v>
                </c:pt>
                <c:pt idx="16">
                  <c:v>2.5</c:v>
                </c:pt>
                <c:pt idx="17">
                  <c:v>1.5</c:v>
                </c:pt>
                <c:pt idx="18">
                  <c:v>1</c:v>
                </c:pt>
                <c:pt idx="19">
                  <c:v>0.8</c:v>
                </c:pt>
                <c:pt idx="20">
                  <c:v>0.75</c:v>
                </c:pt>
                <c:pt idx="21">
                  <c:v>0.7</c:v>
                </c:pt>
                <c:pt idx="22">
                  <c:v>0.55003585999999993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'Resumo Dados'!$C$4:$C$26</c15:f>
                <c15:dlblRangeCache>
                  <c:ptCount val="23"/>
                  <c:pt idx="0">
                    <c:v>Matéria-Prima 1</c:v>
                  </c:pt>
                  <c:pt idx="1">
                    <c:v>Embalagens 1</c:v>
                  </c:pt>
                  <c:pt idx="2">
                    <c:v>Matéria-Prima 2</c:v>
                  </c:pt>
                  <c:pt idx="3">
                    <c:v>Frete Inbound</c:v>
                  </c:pt>
                  <c:pt idx="4">
                    <c:v>Matéria-Prima 3</c:v>
                  </c:pt>
                  <c:pt idx="5">
                    <c:v>Armazem/Galpões</c:v>
                  </c:pt>
                  <c:pt idx="6">
                    <c:v>Componentes</c:v>
                  </c:pt>
                  <c:pt idx="7">
                    <c:v>Agências Marketing</c:v>
                  </c:pt>
                  <c:pt idx="8">
                    <c:v>Máquinas e Equipamentos</c:v>
                  </c:pt>
                  <c:pt idx="9">
                    <c:v>Energia Elétrica</c:v>
                  </c:pt>
                  <c:pt idx="10">
                    <c:v>Gás Natural</c:v>
                  </c:pt>
                  <c:pt idx="11">
                    <c:v>Gestão Resíduos</c:v>
                  </c:pt>
                  <c:pt idx="12">
                    <c:v>Pallets</c:v>
                  </c:pt>
                  <c:pt idx="13">
                    <c:v>Manutenção</c:v>
                  </c:pt>
                  <c:pt idx="14">
                    <c:v>Serviços Consultoria TI</c:v>
                  </c:pt>
                  <c:pt idx="15">
                    <c:v>Benefícios Planos de Saúde</c:v>
                  </c:pt>
                  <c:pt idx="16">
                    <c:v>Benefícios Refeições</c:v>
                  </c:pt>
                  <c:pt idx="17">
                    <c:v>Serviços Jurídicos</c:v>
                  </c:pt>
                  <c:pt idx="18">
                    <c:v>Consultoria Gestão Empresarial</c:v>
                  </c:pt>
                  <c:pt idx="19">
                    <c:v>Frota Locação de Veículos</c:v>
                  </c:pt>
                  <c:pt idx="20">
                    <c:v>Especializados Assistencia Técnica</c:v>
                  </c:pt>
                  <c:pt idx="21">
                    <c:v>Equipamentos e Periféricos Outros</c:v>
                  </c:pt>
                  <c:pt idx="22">
                    <c:v>Serviços Vigilancia &amp; Segurança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5AB1-4B05-BF80-522511302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677756072"/>
        <c:axId val="677756432"/>
      </c:bubbleChart>
      <c:valAx>
        <c:axId val="677756072"/>
        <c:scaling>
          <c:orientation val="minMax"/>
          <c:max val="4.5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7756432"/>
        <c:crosses val="autoZero"/>
        <c:crossBetween val="midCat"/>
      </c:valAx>
      <c:valAx>
        <c:axId val="677756432"/>
        <c:scaling>
          <c:orientation val="minMax"/>
          <c:max val="4.5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7756072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 /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 /><Relationship Id="rId1" Type="http://schemas.openxmlformats.org/officeDocument/2006/relationships/image" Target="../media/image1.png" 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 /><Relationship Id="rId2" Type="http://schemas.openxmlformats.org/officeDocument/2006/relationships/image" Target="../media/image1.png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196496</xdr:colOff>
      <xdr:row>1</xdr:row>
      <xdr:rowOff>323850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2B03AEC-C475-4CA7-8AE9-0389BE793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>
          <a:fillRect/>
        </a:stretch>
      </xdr:blipFill>
      <xdr:spPr>
        <a:xfrm>
          <a:off x="0" y="0"/>
          <a:ext cx="2634896" cy="66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43295</xdr:colOff>
      <xdr:row>1</xdr:row>
      <xdr:rowOff>103909</xdr:rowOff>
    </xdr:from>
    <xdr:to>
      <xdr:col>1</xdr:col>
      <xdr:colOff>1018978</xdr:colOff>
      <xdr:row>4</xdr:row>
      <xdr:rowOff>147204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E56AF66-589F-CEF6-EF1F-2750B381A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>
          <a:fillRect/>
        </a:stretch>
      </xdr:blipFill>
      <xdr:spPr>
        <a:xfrm>
          <a:off x="43295" y="173182"/>
          <a:ext cx="2361138" cy="5974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605366</xdr:colOff>
      <xdr:row>10</xdr:row>
      <xdr:rowOff>148167</xdr:rowOff>
    </xdr:from>
    <xdr:to>
      <xdr:col>24</xdr:col>
      <xdr:colOff>545600</xdr:colOff>
      <xdr:row>33</xdr:row>
      <xdr:rowOff>11067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331945AA-888E-3612-070E-093F9D6DFAC6}"/>
            </a:ext>
          </a:extLst>
        </xdr:cNvPr>
        <xdr:cNvSpPr/>
      </xdr:nvSpPr>
      <xdr:spPr>
        <a:xfrm>
          <a:off x="7357533" y="148167"/>
          <a:ext cx="6692400" cy="4244400"/>
        </a:xfrm>
        <a:prstGeom prst="rect">
          <a:avLst/>
        </a:prstGeom>
        <a:solidFill>
          <a:srgbClr val="BAE18F">
            <a:alpha val="75686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1978</xdr:colOff>
      <xdr:row>32</xdr:row>
      <xdr:rowOff>188381</xdr:rowOff>
    </xdr:from>
    <xdr:to>
      <xdr:col>24</xdr:col>
      <xdr:colOff>549047</xdr:colOff>
      <xdr:row>55</xdr:row>
      <xdr:rowOff>51281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84264C05-3935-4469-924F-DD445EBD0727}"/>
            </a:ext>
          </a:extLst>
        </xdr:cNvPr>
        <xdr:cNvSpPr/>
      </xdr:nvSpPr>
      <xdr:spPr>
        <a:xfrm>
          <a:off x="7283994" y="4413179"/>
          <a:ext cx="6615416" cy="4279735"/>
        </a:xfrm>
        <a:prstGeom prst="rect">
          <a:avLst/>
        </a:prstGeom>
        <a:solidFill>
          <a:srgbClr val="FFA3A3">
            <a:alpha val="75686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61383</xdr:colOff>
      <xdr:row>10</xdr:row>
      <xdr:rowOff>146047</xdr:rowOff>
    </xdr:from>
    <xdr:to>
      <xdr:col>14</xdr:col>
      <xdr:colOff>0</xdr:colOff>
      <xdr:row>33</xdr:row>
      <xdr:rowOff>8947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2A31EB7C-264B-4115-A6D9-525E963A2775}"/>
            </a:ext>
          </a:extLst>
        </xdr:cNvPr>
        <xdr:cNvSpPr/>
      </xdr:nvSpPr>
      <xdr:spPr>
        <a:xfrm>
          <a:off x="675216" y="146047"/>
          <a:ext cx="6690784" cy="4244400"/>
        </a:xfrm>
        <a:prstGeom prst="rect">
          <a:avLst/>
        </a:prstGeom>
        <a:solidFill>
          <a:srgbClr val="FFEEB7">
            <a:alpha val="75686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66401</xdr:colOff>
      <xdr:row>32</xdr:row>
      <xdr:rowOff>188382</xdr:rowOff>
    </xdr:from>
    <xdr:to>
      <xdr:col>14</xdr:col>
      <xdr:colOff>6634</xdr:colOff>
      <xdr:row>55</xdr:row>
      <xdr:rowOff>51282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31F6FECA-80D6-4EFB-8973-7D9391CE2C18}"/>
            </a:ext>
          </a:extLst>
        </xdr:cNvPr>
        <xdr:cNvSpPr/>
      </xdr:nvSpPr>
      <xdr:spPr>
        <a:xfrm>
          <a:off x="673236" y="4413180"/>
          <a:ext cx="6615414" cy="4279735"/>
        </a:xfrm>
        <a:prstGeom prst="rect">
          <a:avLst/>
        </a:prstGeom>
        <a:solidFill>
          <a:srgbClr val="C5F0FF">
            <a:alpha val="75686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222455</xdr:colOff>
      <xdr:row>10</xdr:row>
      <xdr:rowOff>69133</xdr:rowOff>
    </xdr:from>
    <xdr:to>
      <xdr:col>25</xdr:col>
      <xdr:colOff>117680</xdr:colOff>
      <xdr:row>57</xdr:row>
      <xdr:rowOff>29496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5621DA-9620-48C1-B946-BE57A811E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40821</xdr:colOff>
      <xdr:row>10</xdr:row>
      <xdr:rowOff>136071</xdr:rowOff>
    </xdr:from>
    <xdr:ext cx="1713739" cy="374141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E9506B5D-12B3-EA0E-DE4B-C2EE46B09E1E}"/>
            </a:ext>
          </a:extLst>
        </xdr:cNvPr>
        <xdr:cNvSpPr txBox="1"/>
      </xdr:nvSpPr>
      <xdr:spPr>
        <a:xfrm>
          <a:off x="653142" y="136071"/>
          <a:ext cx="1713739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800" b="1"/>
            <a:t>ALAVANCAGEM</a:t>
          </a:r>
        </a:p>
      </xdr:txBody>
    </xdr:sp>
    <xdr:clientData/>
  </xdr:oneCellAnchor>
  <xdr:oneCellAnchor>
    <xdr:from>
      <xdr:col>22</xdr:col>
      <xdr:colOff>288471</xdr:colOff>
      <xdr:row>10</xdr:row>
      <xdr:rowOff>152400</xdr:rowOff>
    </xdr:from>
    <xdr:ext cx="1504258" cy="374141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2C343FBB-F5E9-4E3C-8440-416726F93BEB}"/>
            </a:ext>
          </a:extLst>
        </xdr:cNvPr>
        <xdr:cNvSpPr txBox="1"/>
      </xdr:nvSpPr>
      <xdr:spPr>
        <a:xfrm>
          <a:off x="12534900" y="152400"/>
          <a:ext cx="1504258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800" b="1"/>
            <a:t>ESTRATÉGICO</a:t>
          </a:r>
        </a:p>
      </xdr:txBody>
    </xdr:sp>
    <xdr:clientData/>
  </xdr:oneCellAnchor>
  <xdr:oneCellAnchor>
    <xdr:from>
      <xdr:col>3</xdr:col>
      <xdr:colOff>57151</xdr:colOff>
      <xdr:row>33</xdr:row>
      <xdr:rowOff>29935</xdr:rowOff>
    </xdr:from>
    <xdr:ext cx="1452642" cy="374141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2FA6D306-FA22-47E6-8B67-70831DB7FA7B}"/>
            </a:ext>
          </a:extLst>
        </xdr:cNvPr>
        <xdr:cNvSpPr txBox="1"/>
      </xdr:nvSpPr>
      <xdr:spPr>
        <a:xfrm>
          <a:off x="669472" y="4411435"/>
          <a:ext cx="145264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800" b="1"/>
            <a:t>NÃO CRÍTICO</a:t>
          </a:r>
        </a:p>
      </xdr:txBody>
    </xdr:sp>
    <xdr:clientData/>
  </xdr:oneCellAnchor>
  <xdr:oneCellAnchor>
    <xdr:from>
      <xdr:col>22</xdr:col>
      <xdr:colOff>304800</xdr:colOff>
      <xdr:row>33</xdr:row>
      <xdr:rowOff>46264</xdr:rowOff>
    </xdr:from>
    <xdr:ext cx="1142236" cy="374141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1C4954AB-2A6F-45A1-8A4D-C2DF2F161602}"/>
            </a:ext>
          </a:extLst>
        </xdr:cNvPr>
        <xdr:cNvSpPr txBox="1"/>
      </xdr:nvSpPr>
      <xdr:spPr>
        <a:xfrm>
          <a:off x="12551229" y="4427764"/>
          <a:ext cx="114223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800" b="1"/>
            <a:t>GARGALO</a:t>
          </a:r>
        </a:p>
      </xdr:txBody>
    </xdr:sp>
    <xdr:clientData/>
  </xdr:oneCellAnchor>
  <xdr:oneCellAnchor>
    <xdr:from>
      <xdr:col>10</xdr:col>
      <xdr:colOff>149678</xdr:colOff>
      <xdr:row>58</xdr:row>
      <xdr:rowOff>163286</xdr:rowOff>
    </xdr:from>
    <xdr:ext cx="5492145" cy="468013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607F5234-6D9A-8205-4DFA-C788C54D9683}"/>
            </a:ext>
          </a:extLst>
        </xdr:cNvPr>
        <xdr:cNvSpPr txBox="1"/>
      </xdr:nvSpPr>
      <xdr:spPr>
        <a:xfrm>
          <a:off x="5660571" y="9307286"/>
          <a:ext cx="5492145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COMPLEXIDADE MERCADO FORNECEDOR</a:t>
          </a:r>
          <a:endParaRPr lang="pt-BR" sz="2400"/>
        </a:p>
      </xdr:txBody>
    </xdr:sp>
    <xdr:clientData/>
  </xdr:oneCellAnchor>
  <xdr:oneCellAnchor>
    <xdr:from>
      <xdr:col>2</xdr:col>
      <xdr:colOff>410936</xdr:colOff>
      <xdr:row>57</xdr:row>
      <xdr:rowOff>29936</xdr:rowOff>
    </xdr:from>
    <xdr:ext cx="649665" cy="311496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611EE3DC-D791-4720-829E-63ED486A0285}"/>
            </a:ext>
          </a:extLst>
        </xdr:cNvPr>
        <xdr:cNvSpPr txBox="1"/>
      </xdr:nvSpPr>
      <xdr:spPr>
        <a:xfrm>
          <a:off x="1023257" y="8983436"/>
          <a:ext cx="64966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BAIXA</a:t>
          </a:r>
          <a:endParaRPr lang="pt-BR" sz="1400"/>
        </a:p>
      </xdr:txBody>
    </xdr:sp>
    <xdr:clientData/>
  </xdr:oneCellAnchor>
  <xdr:oneCellAnchor>
    <xdr:from>
      <xdr:col>23</xdr:col>
      <xdr:colOff>604157</xdr:colOff>
      <xdr:row>57</xdr:row>
      <xdr:rowOff>73479</xdr:rowOff>
    </xdr:from>
    <xdr:ext cx="567078" cy="311496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3F0272B0-8AC2-4CC4-B9D8-F258E01FCC49}"/>
            </a:ext>
          </a:extLst>
        </xdr:cNvPr>
        <xdr:cNvSpPr txBox="1"/>
      </xdr:nvSpPr>
      <xdr:spPr>
        <a:xfrm>
          <a:off x="14075228" y="9026979"/>
          <a:ext cx="5670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ALTA</a:t>
          </a:r>
          <a:endParaRPr lang="pt-BR" sz="1400"/>
        </a:p>
      </xdr:txBody>
    </xdr:sp>
    <xdr:clientData/>
  </xdr:oneCellAnchor>
  <xdr:oneCellAnchor>
    <xdr:from>
      <xdr:col>1</xdr:col>
      <xdr:colOff>114299</xdr:colOff>
      <xdr:row>54</xdr:row>
      <xdr:rowOff>73479</xdr:rowOff>
    </xdr:from>
    <xdr:ext cx="662297" cy="311496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FA7B9971-42C8-4530-9EF7-27F26000C4B0}"/>
            </a:ext>
          </a:extLst>
        </xdr:cNvPr>
        <xdr:cNvSpPr txBox="1"/>
      </xdr:nvSpPr>
      <xdr:spPr>
        <a:xfrm>
          <a:off x="114299" y="8455479"/>
          <a:ext cx="6622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BAIXO</a:t>
          </a:r>
          <a:endParaRPr lang="pt-BR" sz="1400"/>
        </a:p>
      </xdr:txBody>
    </xdr:sp>
    <xdr:clientData/>
  </xdr:oneCellAnchor>
  <xdr:oneCellAnchor>
    <xdr:from>
      <xdr:col>1</xdr:col>
      <xdr:colOff>272143</xdr:colOff>
      <xdr:row>10</xdr:row>
      <xdr:rowOff>54429</xdr:rowOff>
    </xdr:from>
    <xdr:ext cx="579710" cy="311496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B6C4FF9C-EBBB-4309-94F1-12213CD4E8BE}"/>
            </a:ext>
          </a:extLst>
        </xdr:cNvPr>
        <xdr:cNvSpPr txBox="1"/>
      </xdr:nvSpPr>
      <xdr:spPr>
        <a:xfrm>
          <a:off x="272143" y="54429"/>
          <a:ext cx="57971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ALTO</a:t>
          </a:r>
          <a:endParaRPr lang="pt-BR" sz="1400"/>
        </a:p>
      </xdr:txBody>
    </xdr:sp>
    <xdr:clientData/>
  </xdr:oneCellAnchor>
  <xdr:oneCellAnchor>
    <xdr:from>
      <xdr:col>1</xdr:col>
      <xdr:colOff>198851</xdr:colOff>
      <xdr:row>26</xdr:row>
      <xdr:rowOff>37015</xdr:rowOff>
    </xdr:from>
    <xdr:ext cx="468013" cy="3169842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14F657B7-6ED3-4CBF-BF74-92C89BA5E6D8}"/>
            </a:ext>
          </a:extLst>
        </xdr:cNvPr>
        <xdr:cNvSpPr txBox="1"/>
      </xdr:nvSpPr>
      <xdr:spPr>
        <a:xfrm rot="16200000">
          <a:off x="-539742" y="4435929"/>
          <a:ext cx="3169842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IMPACTO NO NEGÓCIO</a:t>
          </a:r>
          <a:endParaRPr lang="pt-BR" sz="2400"/>
        </a:p>
      </xdr:txBody>
    </xdr:sp>
    <xdr:clientData/>
  </xdr:oneCellAnchor>
  <xdr:twoCellAnchor editAs="oneCell">
    <xdr:from>
      <xdr:col>9</xdr:col>
      <xdr:colOff>108857</xdr:colOff>
      <xdr:row>0</xdr:row>
      <xdr:rowOff>136072</xdr:rowOff>
    </xdr:from>
    <xdr:to>
      <xdr:col>17</xdr:col>
      <xdr:colOff>587624</xdr:colOff>
      <xdr:row>7</xdr:row>
      <xdr:rowOff>163286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47AAD6-9A73-4C79-BE6A-8D9B870CA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>
          <a:fillRect/>
        </a:stretch>
      </xdr:blipFill>
      <xdr:spPr>
        <a:xfrm>
          <a:off x="5619750" y="136072"/>
          <a:ext cx="5377338" cy="1360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hyperlink" Target="http://www.procurementgarage.com/treinamentos/" TargetMode="Externa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drawing" Target="../drawings/drawing2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35608-0D6B-425C-ACA3-D8AB825F878F}">
  <dimension ref="B1:P28"/>
  <sheetViews>
    <sheetView showGridLines="0" tabSelected="1" workbookViewId="0">
      <selection activeCell="H28" sqref="H28"/>
    </sheetView>
  </sheetViews>
  <sheetFormatPr defaultRowHeight="15" x14ac:dyDescent="0.2"/>
  <sheetData>
    <row r="1" spans="2:16" ht="27" customHeight="1" x14ac:dyDescent="0.2"/>
    <row r="2" spans="2:16" ht="27" customHeight="1" x14ac:dyDescent="0.2"/>
    <row r="3" spans="2:16" ht="25.5" x14ac:dyDescent="0.35">
      <c r="B3" s="99" t="s">
        <v>88</v>
      </c>
      <c r="E3" s="99"/>
    </row>
    <row r="5" spans="2:16" x14ac:dyDescent="0.2">
      <c r="B5" t="s">
        <v>67</v>
      </c>
    </row>
    <row r="7" spans="2:16" ht="21" x14ac:dyDescent="0.3">
      <c r="B7" s="100" t="s">
        <v>68</v>
      </c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</row>
    <row r="9" spans="2:16" s="72" customFormat="1" ht="16.5" customHeight="1" x14ac:dyDescent="0.2">
      <c r="B9" s="73" t="s">
        <v>82</v>
      </c>
    </row>
    <row r="10" spans="2:16" x14ac:dyDescent="0.2">
      <c r="B10" t="s">
        <v>84</v>
      </c>
    </row>
    <row r="11" spans="2:16" x14ac:dyDescent="0.2">
      <c r="B11" t="s">
        <v>71</v>
      </c>
    </row>
    <row r="12" spans="2:16" x14ac:dyDescent="0.2">
      <c r="B12" s="101" t="s">
        <v>85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</row>
    <row r="13" spans="2:16" x14ac:dyDescent="0.2"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</row>
    <row r="14" spans="2:16" x14ac:dyDescent="0.2">
      <c r="B14" t="s">
        <v>72</v>
      </c>
    </row>
    <row r="15" spans="2:16" x14ac:dyDescent="0.2">
      <c r="B15" t="s">
        <v>81</v>
      </c>
    </row>
    <row r="16" spans="2:16" x14ac:dyDescent="0.2">
      <c r="B16" t="s">
        <v>73</v>
      </c>
    </row>
    <row r="17" spans="2:4" x14ac:dyDescent="0.2">
      <c r="B17" t="s">
        <v>74</v>
      </c>
    </row>
    <row r="18" spans="2:4" x14ac:dyDescent="0.2">
      <c r="B18" t="s">
        <v>75</v>
      </c>
    </row>
    <row r="19" spans="2:4" x14ac:dyDescent="0.2">
      <c r="B19" t="s">
        <v>76</v>
      </c>
    </row>
    <row r="20" spans="2:4" x14ac:dyDescent="0.2">
      <c r="B20" t="s">
        <v>83</v>
      </c>
    </row>
    <row r="21" spans="2:4" x14ac:dyDescent="0.2">
      <c r="B21" t="s">
        <v>77</v>
      </c>
    </row>
    <row r="23" spans="2:4" x14ac:dyDescent="0.2">
      <c r="B23" s="71" t="s">
        <v>78</v>
      </c>
    </row>
    <row r="24" spans="2:4" x14ac:dyDescent="0.2">
      <c r="B24" s="94" t="s">
        <v>79</v>
      </c>
      <c r="C24" s="95"/>
      <c r="D24" s="94" t="s">
        <v>89</v>
      </c>
    </row>
    <row r="25" spans="2:4" x14ac:dyDescent="0.2">
      <c r="B25" t="s">
        <v>79</v>
      </c>
      <c r="C25" s="1"/>
      <c r="D25" s="94" t="s">
        <v>80</v>
      </c>
    </row>
    <row r="27" spans="2:4" ht="21" x14ac:dyDescent="0.3">
      <c r="B27" s="96" t="s">
        <v>86</v>
      </c>
    </row>
    <row r="28" spans="2:4" x14ac:dyDescent="0.2">
      <c r="B28" s="98" t="s">
        <v>87</v>
      </c>
    </row>
  </sheetData>
  <mergeCells count="2">
    <mergeCell ref="B7:P7"/>
    <mergeCell ref="B12:P13"/>
  </mergeCells>
  <hyperlinks>
    <hyperlink ref="B28" r:id="rId1" xr:uid="{436EF8A4-412D-4BC7-BFAF-3A378018EB6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E31"/>
  <sheetViews>
    <sheetView showGridLines="0" topLeftCell="A16" zoomScale="110" zoomScaleNormal="110" workbookViewId="0">
      <selection activeCell="B11" sqref="B11"/>
    </sheetView>
  </sheetViews>
  <sheetFormatPr defaultColWidth="0" defaultRowHeight="15" x14ac:dyDescent="0.2"/>
  <cols>
    <col min="1" max="1" width="20.71484375" style="11" customWidth="1"/>
    <col min="2" max="2" width="25.828125" style="11" customWidth="1"/>
    <col min="3" max="3" width="31.07421875" style="11" customWidth="1"/>
    <col min="4" max="4" width="15.73828125" style="12" customWidth="1"/>
    <col min="5" max="5" width="15.73828125" style="13" customWidth="1"/>
    <col min="6" max="6" width="13.44921875" style="11" customWidth="1"/>
    <col min="7" max="7" width="12.9140625" style="11" customWidth="1"/>
    <col min="8" max="8" width="14.390625" style="11" customWidth="1"/>
    <col min="9" max="9" width="14.9296875" style="11" customWidth="1"/>
    <col min="10" max="10" width="17.21875" style="11" customWidth="1"/>
    <col min="11" max="11" width="1.07421875" style="11" customWidth="1"/>
    <col min="12" max="13" width="14.9296875" style="11" customWidth="1"/>
    <col min="14" max="14" width="16.8125" style="11" customWidth="1"/>
    <col min="15" max="15" width="15.73828125" style="11" customWidth="1"/>
    <col min="16" max="16" width="15.19921875" style="11" customWidth="1"/>
    <col min="17" max="17" width="1.4765625" style="11" customWidth="1"/>
    <col min="18" max="18" width="17.75390625" style="11" customWidth="1"/>
    <col min="19" max="19" width="9.55078125" style="11" customWidth="1"/>
    <col min="20" max="20" width="9.14453125" style="11" customWidth="1"/>
    <col min="21" max="31" width="9.14453125" style="97" hidden="1" customWidth="1"/>
    <col min="32" max="16384" width="9.14453125" hidden="1"/>
  </cols>
  <sheetData>
    <row r="1" spans="1:19" ht="13.5" customHeight="1" thickBot="1" x14ac:dyDescent="0.25"/>
    <row r="2" spans="1:19" ht="15" customHeight="1" x14ac:dyDescent="0.2">
      <c r="A2" s="50"/>
      <c r="B2" s="51"/>
      <c r="C2" s="51"/>
      <c r="D2" s="52"/>
      <c r="E2" s="53"/>
      <c r="F2" s="102" t="s">
        <v>66</v>
      </c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4"/>
    </row>
    <row r="3" spans="1:19" ht="15" customHeight="1" x14ac:dyDescent="0.2">
      <c r="A3" s="27"/>
      <c r="D3" s="54"/>
      <c r="E3" s="55"/>
      <c r="F3" s="105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7"/>
    </row>
    <row r="4" spans="1:19" ht="13.5" customHeight="1" x14ac:dyDescent="0.2">
      <c r="A4" s="27"/>
      <c r="D4" s="54"/>
      <c r="E4" s="55"/>
      <c r="F4" s="42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4"/>
    </row>
    <row r="5" spans="1:19" ht="23.25" customHeight="1" thickBot="1" x14ac:dyDescent="0.25">
      <c r="A5" s="56"/>
      <c r="B5" s="57"/>
      <c r="C5" s="58" t="s">
        <v>29</v>
      </c>
      <c r="D5" s="59">
        <v>500</v>
      </c>
      <c r="E5" s="60"/>
      <c r="F5" s="42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4"/>
    </row>
    <row r="6" spans="1:19" ht="21" customHeight="1" x14ac:dyDescent="0.2">
      <c r="A6" s="108" t="s">
        <v>0</v>
      </c>
      <c r="B6" s="127" t="s">
        <v>69</v>
      </c>
      <c r="C6" s="130" t="s">
        <v>39</v>
      </c>
      <c r="D6" s="118" t="s">
        <v>70</v>
      </c>
      <c r="E6" s="116" t="s">
        <v>21</v>
      </c>
      <c r="F6" s="120" t="s">
        <v>22</v>
      </c>
      <c r="G6" s="121"/>
      <c r="H6" s="121"/>
      <c r="I6" s="122"/>
      <c r="J6" s="123" t="s">
        <v>27</v>
      </c>
      <c r="K6" s="28"/>
      <c r="L6" s="125" t="s">
        <v>30</v>
      </c>
      <c r="M6" s="126"/>
      <c r="N6" s="126"/>
      <c r="O6" s="126"/>
      <c r="P6" s="111" t="s">
        <v>27</v>
      </c>
      <c r="Q6" s="62"/>
      <c r="R6" s="113" t="s">
        <v>38</v>
      </c>
    </row>
    <row r="7" spans="1:19" ht="41.25" x14ac:dyDescent="0.2">
      <c r="A7" s="109"/>
      <c r="B7" s="128"/>
      <c r="C7" s="131"/>
      <c r="D7" s="119"/>
      <c r="E7" s="117"/>
      <c r="F7" s="29" t="s">
        <v>20</v>
      </c>
      <c r="G7" s="4" t="s">
        <v>19</v>
      </c>
      <c r="H7" s="4" t="s">
        <v>31</v>
      </c>
      <c r="I7" s="33" t="s">
        <v>32</v>
      </c>
      <c r="J7" s="124"/>
      <c r="K7" s="28"/>
      <c r="L7" s="39" t="s">
        <v>24</v>
      </c>
      <c r="M7" s="5" t="s">
        <v>26</v>
      </c>
      <c r="N7" s="5" t="s">
        <v>25</v>
      </c>
      <c r="O7" s="5" t="s">
        <v>37</v>
      </c>
      <c r="P7" s="112"/>
      <c r="Q7" s="28"/>
      <c r="R7" s="114"/>
      <c r="S7" s="10"/>
    </row>
    <row r="8" spans="1:19" ht="15.75" thickBot="1" x14ac:dyDescent="0.25">
      <c r="A8" s="110"/>
      <c r="B8" s="129"/>
      <c r="C8" s="45" t="s">
        <v>23</v>
      </c>
      <c r="D8" s="46">
        <f>SUM(D9:D31)</f>
        <v>260.62192033999992</v>
      </c>
      <c r="E8" s="47">
        <f>SUM(E9:E31)</f>
        <v>0.52124384068000007</v>
      </c>
      <c r="F8" s="80">
        <v>0.4</v>
      </c>
      <c r="G8" s="81">
        <v>0.3</v>
      </c>
      <c r="H8" s="81">
        <v>0.15</v>
      </c>
      <c r="I8" s="82">
        <v>0.15</v>
      </c>
      <c r="J8" s="83">
        <f>SUM(F8:I8)</f>
        <v>1</v>
      </c>
      <c r="K8" s="32"/>
      <c r="L8" s="80">
        <v>0.25</v>
      </c>
      <c r="M8" s="81">
        <v>0.25</v>
      </c>
      <c r="N8" s="81">
        <v>0.25</v>
      </c>
      <c r="O8" s="81">
        <v>0.25</v>
      </c>
      <c r="P8" s="90">
        <f>SUM(L8:O8)</f>
        <v>1</v>
      </c>
      <c r="Q8" s="41"/>
      <c r="R8" s="115"/>
      <c r="S8" s="10"/>
    </row>
    <row r="9" spans="1:19" x14ac:dyDescent="0.2">
      <c r="A9" s="65" t="s">
        <v>58</v>
      </c>
      <c r="B9" s="18" t="s">
        <v>59</v>
      </c>
      <c r="C9" s="48" t="s">
        <v>59</v>
      </c>
      <c r="D9" s="19">
        <v>59.99798019</v>
      </c>
      <c r="E9" s="74">
        <f t="shared" ref="E9:E24" si="0">D9/$D$5</f>
        <v>0.11999596038</v>
      </c>
      <c r="F9" s="77">
        <f t="shared" ref="F9:F27" si="1">IF(AND(E9&lt;0.5%,E9&gt;=0.15%),2,IF(AND(E9&lt;0.5%),1,IF(E9&gt;=1%,4,3)))</f>
        <v>4</v>
      </c>
      <c r="G9" s="35">
        <v>4</v>
      </c>
      <c r="H9" s="35">
        <v>1</v>
      </c>
      <c r="I9" s="36">
        <v>4</v>
      </c>
      <c r="J9" s="84">
        <f>IF(SUM(G9,H9,I9)=0, "NA",SUM($F$8*F9,$G$8*G9,$H$8*H9,$I$8*I9))</f>
        <v>3.55</v>
      </c>
      <c r="K9" s="30"/>
      <c r="L9" s="34">
        <v>3</v>
      </c>
      <c r="M9" s="35">
        <v>4</v>
      </c>
      <c r="N9" s="35">
        <v>4</v>
      </c>
      <c r="O9" s="35">
        <v>4</v>
      </c>
      <c r="P9" s="87">
        <f t="shared" ref="P9:P27" si="2">IF(SUM(L9,M9,N9,O9)=0, "NA",SUM(L9*$L$8,$M$8*M9,$N$8*N9,$O$8*O9))</f>
        <v>3.75</v>
      </c>
      <c r="Q9" s="63"/>
      <c r="R9" s="91" t="str">
        <f t="shared" ref="R9:R27" si="3">IF(OR(J9="NA",P9="NA"),"NA",IF(AND(J9&lt;2.5,P9&lt;2.5),"Não Crítico",IF(AND(J9&lt;=2.5,P9&gt;=2.5),"Gargalo",IF(AND(J9&gt;=2.5,P9&gt;=2.5),"Estratégico","Alavancável"))))</f>
        <v>Estratégico</v>
      </c>
    </row>
    <row r="10" spans="1:19" x14ac:dyDescent="0.2">
      <c r="A10" s="24" t="s">
        <v>40</v>
      </c>
      <c r="B10" s="20" t="s">
        <v>60</v>
      </c>
      <c r="C10" s="1" t="s">
        <v>60</v>
      </c>
      <c r="D10" s="2">
        <v>40</v>
      </c>
      <c r="E10" s="75">
        <f t="shared" si="0"/>
        <v>0.08</v>
      </c>
      <c r="F10" s="78">
        <f t="shared" si="1"/>
        <v>4</v>
      </c>
      <c r="G10" s="3">
        <v>4</v>
      </c>
      <c r="H10" s="3">
        <v>4</v>
      </c>
      <c r="I10" s="37">
        <v>4</v>
      </c>
      <c r="J10" s="85">
        <f t="shared" ref="J10:J24" si="4">IF(SUM(G10,H10,I10)=0, "NA",SUM($F$8*F10,$G$8*G10,$H$8*H10,$I$8*I10))</f>
        <v>4</v>
      </c>
      <c r="K10" s="30"/>
      <c r="L10" s="14">
        <v>3</v>
      </c>
      <c r="M10" s="3">
        <v>4</v>
      </c>
      <c r="N10" s="3">
        <v>3</v>
      </c>
      <c r="O10" s="3">
        <v>4</v>
      </c>
      <c r="P10" s="88">
        <f t="shared" si="2"/>
        <v>3.5</v>
      </c>
      <c r="Q10" s="63"/>
      <c r="R10" s="92" t="str">
        <f t="shared" si="3"/>
        <v>Estratégico</v>
      </c>
    </row>
    <row r="11" spans="1:19" x14ac:dyDescent="0.2">
      <c r="A11" s="24" t="s">
        <v>58</v>
      </c>
      <c r="B11" s="20" t="s">
        <v>61</v>
      </c>
      <c r="C11" s="1" t="s">
        <v>61</v>
      </c>
      <c r="D11" s="2">
        <v>31</v>
      </c>
      <c r="E11" s="75">
        <f t="shared" si="0"/>
        <v>6.2E-2</v>
      </c>
      <c r="F11" s="78">
        <f t="shared" si="1"/>
        <v>4</v>
      </c>
      <c r="G11" s="3">
        <v>4</v>
      </c>
      <c r="H11" s="3">
        <v>1</v>
      </c>
      <c r="I11" s="37">
        <v>4</v>
      </c>
      <c r="J11" s="85">
        <f t="shared" si="4"/>
        <v>3.55</v>
      </c>
      <c r="K11" s="30"/>
      <c r="L11" s="40">
        <v>3</v>
      </c>
      <c r="M11" s="7">
        <v>4</v>
      </c>
      <c r="N11" s="7">
        <v>4</v>
      </c>
      <c r="O11" s="7">
        <v>4</v>
      </c>
      <c r="P11" s="88">
        <f t="shared" si="2"/>
        <v>3.75</v>
      </c>
      <c r="Q11" s="63"/>
      <c r="R11" s="92" t="str">
        <f t="shared" si="3"/>
        <v>Estratégico</v>
      </c>
    </row>
    <row r="12" spans="1:19" x14ac:dyDescent="0.2">
      <c r="A12" s="24" t="s">
        <v>41</v>
      </c>
      <c r="B12" s="20" t="s">
        <v>1</v>
      </c>
      <c r="C12" s="1" t="s">
        <v>62</v>
      </c>
      <c r="D12" s="2">
        <f>30.46390429-3.44</f>
        <v>27.023904289999997</v>
      </c>
      <c r="E12" s="75">
        <f t="shared" si="0"/>
        <v>5.4047808579999995E-2</v>
      </c>
      <c r="F12" s="78">
        <f t="shared" si="1"/>
        <v>4</v>
      </c>
      <c r="G12" s="3">
        <v>3</v>
      </c>
      <c r="H12" s="3">
        <v>2</v>
      </c>
      <c r="I12" s="37">
        <v>2</v>
      </c>
      <c r="J12" s="85">
        <f t="shared" si="4"/>
        <v>3.0999999999999996</v>
      </c>
      <c r="K12" s="30"/>
      <c r="L12" s="14">
        <v>1</v>
      </c>
      <c r="M12" s="3">
        <v>1</v>
      </c>
      <c r="N12" s="3">
        <v>3</v>
      </c>
      <c r="O12" s="3">
        <v>1</v>
      </c>
      <c r="P12" s="88">
        <f t="shared" si="2"/>
        <v>1.5</v>
      </c>
      <c r="Q12" s="63"/>
      <c r="R12" s="92" t="str">
        <f t="shared" si="3"/>
        <v>Alavancável</v>
      </c>
    </row>
    <row r="13" spans="1:19" x14ac:dyDescent="0.2">
      <c r="A13" s="24" t="s">
        <v>58</v>
      </c>
      <c r="B13" s="20" t="s">
        <v>63</v>
      </c>
      <c r="C13" s="1" t="s">
        <v>63</v>
      </c>
      <c r="D13" s="2">
        <v>27.4</v>
      </c>
      <c r="E13" s="75">
        <f t="shared" si="0"/>
        <v>5.4799999999999995E-2</v>
      </c>
      <c r="F13" s="78">
        <f t="shared" si="1"/>
        <v>4</v>
      </c>
      <c r="G13" s="3">
        <v>4</v>
      </c>
      <c r="H13" s="3">
        <v>2</v>
      </c>
      <c r="I13" s="37">
        <v>4</v>
      </c>
      <c r="J13" s="85">
        <f t="shared" si="4"/>
        <v>3.6999999999999997</v>
      </c>
      <c r="K13" s="31"/>
      <c r="L13" s="14">
        <v>3</v>
      </c>
      <c r="M13" s="3">
        <v>4</v>
      </c>
      <c r="N13" s="3">
        <v>3</v>
      </c>
      <c r="O13" s="3">
        <v>4</v>
      </c>
      <c r="P13" s="88">
        <f t="shared" si="2"/>
        <v>3.5</v>
      </c>
      <c r="Q13" s="63"/>
      <c r="R13" s="92" t="str">
        <f t="shared" si="3"/>
        <v>Estratégico</v>
      </c>
    </row>
    <row r="14" spans="1:19" x14ac:dyDescent="0.2">
      <c r="A14" s="24" t="s">
        <v>41</v>
      </c>
      <c r="B14" s="20" t="s">
        <v>3</v>
      </c>
      <c r="C14" s="1" t="s">
        <v>2</v>
      </c>
      <c r="D14" s="2">
        <v>10</v>
      </c>
      <c r="E14" s="75">
        <f t="shared" si="0"/>
        <v>0.02</v>
      </c>
      <c r="F14" s="78">
        <f t="shared" si="1"/>
        <v>4</v>
      </c>
      <c r="G14" s="3">
        <v>2</v>
      </c>
      <c r="H14" s="3">
        <v>1</v>
      </c>
      <c r="I14" s="37">
        <v>1</v>
      </c>
      <c r="J14" s="85">
        <f t="shared" si="4"/>
        <v>2.5</v>
      </c>
      <c r="K14" s="31"/>
      <c r="L14" s="14">
        <v>2</v>
      </c>
      <c r="M14" s="3">
        <v>3</v>
      </c>
      <c r="N14" s="3">
        <v>2</v>
      </c>
      <c r="O14" s="3">
        <v>3</v>
      </c>
      <c r="P14" s="88">
        <f t="shared" si="2"/>
        <v>2.5</v>
      </c>
      <c r="Q14" s="63"/>
      <c r="R14" s="92" t="str">
        <f t="shared" si="3"/>
        <v>Gargalo</v>
      </c>
    </row>
    <row r="15" spans="1:19" x14ac:dyDescent="0.2">
      <c r="A15" s="24" t="s">
        <v>42</v>
      </c>
      <c r="B15" s="20" t="s">
        <v>4</v>
      </c>
      <c r="C15" s="1" t="s">
        <v>4</v>
      </c>
      <c r="D15" s="2">
        <v>10.5</v>
      </c>
      <c r="E15" s="75">
        <f t="shared" si="0"/>
        <v>2.1000000000000001E-2</v>
      </c>
      <c r="F15" s="78">
        <f t="shared" si="1"/>
        <v>4</v>
      </c>
      <c r="G15" s="3">
        <v>3</v>
      </c>
      <c r="H15" s="3">
        <v>4</v>
      </c>
      <c r="I15" s="37">
        <v>2</v>
      </c>
      <c r="J15" s="85">
        <f t="shared" si="4"/>
        <v>3.4</v>
      </c>
      <c r="K15" s="31"/>
      <c r="L15" s="14">
        <v>4</v>
      </c>
      <c r="M15" s="3">
        <v>4</v>
      </c>
      <c r="N15" s="3">
        <v>4</v>
      </c>
      <c r="O15" s="3">
        <v>4</v>
      </c>
      <c r="P15" s="88">
        <f t="shared" si="2"/>
        <v>4</v>
      </c>
      <c r="Q15" s="63"/>
      <c r="R15" s="92" t="str">
        <f t="shared" si="3"/>
        <v>Estratégico</v>
      </c>
    </row>
    <row r="16" spans="1:19" x14ac:dyDescent="0.2">
      <c r="A16" s="24" t="s">
        <v>43</v>
      </c>
      <c r="B16" s="20" t="s">
        <v>64</v>
      </c>
      <c r="C16" s="1" t="s">
        <v>65</v>
      </c>
      <c r="D16" s="2">
        <v>9</v>
      </c>
      <c r="E16" s="75">
        <f t="shared" si="0"/>
        <v>1.7999999999999999E-2</v>
      </c>
      <c r="F16" s="78">
        <f t="shared" si="1"/>
        <v>4</v>
      </c>
      <c r="G16" s="3">
        <v>2</v>
      </c>
      <c r="H16" s="3">
        <v>1</v>
      </c>
      <c r="I16" s="37">
        <v>4</v>
      </c>
      <c r="J16" s="85">
        <f t="shared" si="4"/>
        <v>2.95</v>
      </c>
      <c r="K16" s="31"/>
      <c r="L16" s="14">
        <v>1</v>
      </c>
      <c r="M16" s="3">
        <v>3</v>
      </c>
      <c r="N16" s="3">
        <v>2</v>
      </c>
      <c r="O16" s="3">
        <v>3</v>
      </c>
      <c r="P16" s="88">
        <f t="shared" si="2"/>
        <v>2.25</v>
      </c>
      <c r="Q16" s="63"/>
      <c r="R16" s="92" t="str">
        <f t="shared" si="3"/>
        <v>Alavancável</v>
      </c>
    </row>
    <row r="17" spans="1:18" x14ac:dyDescent="0.2">
      <c r="A17" s="24" t="s">
        <v>42</v>
      </c>
      <c r="B17" s="20" t="s">
        <v>5</v>
      </c>
      <c r="C17" s="1" t="s">
        <v>5</v>
      </c>
      <c r="D17" s="2">
        <v>7.7</v>
      </c>
      <c r="E17" s="75">
        <f t="shared" si="0"/>
        <v>1.54E-2</v>
      </c>
      <c r="F17" s="78">
        <f t="shared" si="1"/>
        <v>4</v>
      </c>
      <c r="G17" s="3">
        <v>4</v>
      </c>
      <c r="H17" s="3">
        <v>4</v>
      </c>
      <c r="I17" s="37">
        <v>1</v>
      </c>
      <c r="J17" s="85">
        <f t="shared" si="4"/>
        <v>3.55</v>
      </c>
      <c r="K17" s="31"/>
      <c r="L17" s="14">
        <v>4</v>
      </c>
      <c r="M17" s="3">
        <v>3</v>
      </c>
      <c r="N17" s="3">
        <v>4</v>
      </c>
      <c r="O17" s="3">
        <v>4</v>
      </c>
      <c r="P17" s="88">
        <f t="shared" si="2"/>
        <v>3.75</v>
      </c>
      <c r="Q17" s="63"/>
      <c r="R17" s="92" t="str">
        <f t="shared" si="3"/>
        <v>Estratégico</v>
      </c>
    </row>
    <row r="18" spans="1:18" x14ac:dyDescent="0.2">
      <c r="A18" s="24" t="s">
        <v>44</v>
      </c>
      <c r="B18" s="20" t="s">
        <v>6</v>
      </c>
      <c r="C18" s="1" t="s">
        <v>6</v>
      </c>
      <c r="D18" s="2">
        <v>7.5</v>
      </c>
      <c r="E18" s="75">
        <f t="shared" si="0"/>
        <v>1.4999999999999999E-2</v>
      </c>
      <c r="F18" s="78">
        <f t="shared" si="1"/>
        <v>4</v>
      </c>
      <c r="G18" s="3">
        <v>4</v>
      </c>
      <c r="H18" s="3">
        <v>1</v>
      </c>
      <c r="I18" s="37">
        <v>1</v>
      </c>
      <c r="J18" s="85">
        <f t="shared" si="4"/>
        <v>3.0999999999999996</v>
      </c>
      <c r="K18" s="31"/>
      <c r="L18" s="14">
        <v>3</v>
      </c>
      <c r="M18" s="3">
        <v>4</v>
      </c>
      <c r="N18" s="3">
        <v>2</v>
      </c>
      <c r="O18" s="3">
        <v>3</v>
      </c>
      <c r="P18" s="88">
        <f t="shared" si="2"/>
        <v>3</v>
      </c>
      <c r="Q18" s="63"/>
      <c r="R18" s="92" t="str">
        <f t="shared" si="3"/>
        <v>Estratégico</v>
      </c>
    </row>
    <row r="19" spans="1:18" x14ac:dyDescent="0.2">
      <c r="A19" s="24" t="s">
        <v>45</v>
      </c>
      <c r="B19" s="20" t="s">
        <v>8</v>
      </c>
      <c r="C19" s="1" t="s">
        <v>7</v>
      </c>
      <c r="D19" s="2">
        <v>5</v>
      </c>
      <c r="E19" s="75">
        <f t="shared" si="0"/>
        <v>0.01</v>
      </c>
      <c r="F19" s="78">
        <f t="shared" si="1"/>
        <v>4</v>
      </c>
      <c r="G19" s="3">
        <v>4</v>
      </c>
      <c r="H19" s="3">
        <v>1</v>
      </c>
      <c r="I19" s="37">
        <v>1</v>
      </c>
      <c r="J19" s="85">
        <f t="shared" si="4"/>
        <v>3.0999999999999996</v>
      </c>
      <c r="K19" s="31"/>
      <c r="L19" s="14">
        <v>3</v>
      </c>
      <c r="M19" s="3">
        <v>3</v>
      </c>
      <c r="N19" s="3">
        <v>3</v>
      </c>
      <c r="O19" s="3">
        <v>3</v>
      </c>
      <c r="P19" s="88">
        <f t="shared" si="2"/>
        <v>3</v>
      </c>
      <c r="Q19" s="63"/>
      <c r="R19" s="92" t="str">
        <f t="shared" si="3"/>
        <v>Estratégico</v>
      </c>
    </row>
    <row r="20" spans="1:18" x14ac:dyDescent="0.2">
      <c r="A20" s="24" t="s">
        <v>46</v>
      </c>
      <c r="B20" s="20" t="s">
        <v>9</v>
      </c>
      <c r="C20" s="1" t="s">
        <v>9</v>
      </c>
      <c r="D20" s="2">
        <v>4</v>
      </c>
      <c r="E20" s="75">
        <f t="shared" si="0"/>
        <v>8.0000000000000002E-3</v>
      </c>
      <c r="F20" s="78">
        <f t="shared" si="1"/>
        <v>3</v>
      </c>
      <c r="G20" s="3">
        <v>4</v>
      </c>
      <c r="H20" s="3">
        <v>2</v>
      </c>
      <c r="I20" s="37">
        <v>1</v>
      </c>
      <c r="J20" s="85">
        <f t="shared" si="4"/>
        <v>2.85</v>
      </c>
      <c r="K20" s="31"/>
      <c r="L20" s="14">
        <v>1</v>
      </c>
      <c r="M20" s="3">
        <v>1</v>
      </c>
      <c r="N20" s="3">
        <v>2</v>
      </c>
      <c r="O20" s="3">
        <v>2</v>
      </c>
      <c r="P20" s="88">
        <f t="shared" si="2"/>
        <v>1.5</v>
      </c>
      <c r="Q20" s="63"/>
      <c r="R20" s="92" t="str">
        <f t="shared" si="3"/>
        <v>Alavancável</v>
      </c>
    </row>
    <row r="21" spans="1:18" x14ac:dyDescent="0.2">
      <c r="A21" s="24" t="s">
        <v>40</v>
      </c>
      <c r="B21" s="20" t="s">
        <v>10</v>
      </c>
      <c r="C21" s="1" t="s">
        <v>10</v>
      </c>
      <c r="D21" s="2">
        <v>4.5</v>
      </c>
      <c r="E21" s="75">
        <f t="shared" si="0"/>
        <v>8.9999999999999993E-3</v>
      </c>
      <c r="F21" s="78">
        <f t="shared" si="1"/>
        <v>3</v>
      </c>
      <c r="G21" s="3">
        <v>4</v>
      </c>
      <c r="H21" s="3">
        <v>1</v>
      </c>
      <c r="I21" s="37">
        <v>2</v>
      </c>
      <c r="J21" s="85">
        <f t="shared" si="4"/>
        <v>2.85</v>
      </c>
      <c r="K21" s="31"/>
      <c r="L21" s="14">
        <v>1</v>
      </c>
      <c r="M21" s="3">
        <v>2</v>
      </c>
      <c r="N21" s="3">
        <v>2</v>
      </c>
      <c r="O21" s="3">
        <v>2</v>
      </c>
      <c r="P21" s="88">
        <f t="shared" si="2"/>
        <v>1.75</v>
      </c>
      <c r="Q21" s="63"/>
      <c r="R21" s="92" t="str">
        <f t="shared" si="3"/>
        <v>Alavancável</v>
      </c>
    </row>
    <row r="22" spans="1:18" x14ac:dyDescent="0.2">
      <c r="A22" s="24" t="s">
        <v>48</v>
      </c>
      <c r="B22" s="20" t="s">
        <v>12</v>
      </c>
      <c r="C22" s="1" t="s">
        <v>12</v>
      </c>
      <c r="D22" s="2">
        <v>3.5</v>
      </c>
      <c r="E22" s="75">
        <f t="shared" si="0"/>
        <v>7.0000000000000001E-3</v>
      </c>
      <c r="F22" s="78">
        <f t="shared" si="1"/>
        <v>3</v>
      </c>
      <c r="G22" s="3">
        <v>4</v>
      </c>
      <c r="H22" s="3">
        <v>3</v>
      </c>
      <c r="I22" s="37">
        <v>1</v>
      </c>
      <c r="J22" s="85">
        <f t="shared" si="4"/>
        <v>3.0000000000000004</v>
      </c>
      <c r="K22" s="31"/>
      <c r="L22" s="14">
        <v>1</v>
      </c>
      <c r="M22" s="3">
        <v>2</v>
      </c>
      <c r="N22" s="3">
        <v>2</v>
      </c>
      <c r="O22" s="3">
        <v>2</v>
      </c>
      <c r="P22" s="88">
        <f t="shared" si="2"/>
        <v>1.75</v>
      </c>
      <c r="Q22" s="63"/>
      <c r="R22" s="92" t="str">
        <f t="shared" si="3"/>
        <v>Alavancável</v>
      </c>
    </row>
    <row r="23" spans="1:18" x14ac:dyDescent="0.2">
      <c r="A23" s="24" t="s">
        <v>47</v>
      </c>
      <c r="B23" s="20" t="s">
        <v>11</v>
      </c>
      <c r="C23" s="1" t="s">
        <v>50</v>
      </c>
      <c r="D23" s="2">
        <v>3</v>
      </c>
      <c r="E23" s="75">
        <f t="shared" si="0"/>
        <v>6.0000000000000001E-3</v>
      </c>
      <c r="F23" s="78">
        <f t="shared" si="1"/>
        <v>3</v>
      </c>
      <c r="G23" s="3">
        <v>2</v>
      </c>
      <c r="H23" s="3">
        <v>1</v>
      </c>
      <c r="I23" s="37">
        <v>1</v>
      </c>
      <c r="J23" s="85">
        <f t="shared" si="4"/>
        <v>2.1</v>
      </c>
      <c r="K23" s="31"/>
      <c r="L23" s="14">
        <v>1</v>
      </c>
      <c r="M23" s="3">
        <v>1</v>
      </c>
      <c r="N23" s="3">
        <v>2</v>
      </c>
      <c r="O23" s="3">
        <v>3</v>
      </c>
      <c r="P23" s="88">
        <f t="shared" si="2"/>
        <v>1.75</v>
      </c>
      <c r="Q23" s="63"/>
      <c r="R23" s="92" t="str">
        <f t="shared" si="3"/>
        <v>Não Crítico</v>
      </c>
    </row>
    <row r="24" spans="1:18" x14ac:dyDescent="0.2">
      <c r="A24" s="24" t="s">
        <v>49</v>
      </c>
      <c r="B24" s="20" t="s">
        <v>14</v>
      </c>
      <c r="C24" s="1" t="s">
        <v>51</v>
      </c>
      <c r="D24" s="2">
        <v>2.5</v>
      </c>
      <c r="E24" s="75">
        <f t="shared" si="0"/>
        <v>5.0000000000000001E-3</v>
      </c>
      <c r="F24" s="78">
        <f t="shared" si="1"/>
        <v>3</v>
      </c>
      <c r="G24" s="3">
        <v>3</v>
      </c>
      <c r="H24" s="3">
        <v>1</v>
      </c>
      <c r="I24" s="37">
        <v>1</v>
      </c>
      <c r="J24" s="85">
        <f t="shared" si="4"/>
        <v>2.4</v>
      </c>
      <c r="K24" s="31"/>
      <c r="L24" s="14">
        <v>3</v>
      </c>
      <c r="M24" s="3">
        <v>3</v>
      </c>
      <c r="N24" s="3">
        <v>3</v>
      </c>
      <c r="O24" s="3">
        <v>2</v>
      </c>
      <c r="P24" s="88">
        <f t="shared" si="2"/>
        <v>2.75</v>
      </c>
      <c r="Q24" s="63"/>
      <c r="R24" s="92" t="str">
        <f t="shared" si="3"/>
        <v>Gargalo</v>
      </c>
    </row>
    <row r="25" spans="1:18" x14ac:dyDescent="0.2">
      <c r="A25" s="24" t="s">
        <v>49</v>
      </c>
      <c r="B25" s="20" t="s">
        <v>14</v>
      </c>
      <c r="C25" s="1" t="s">
        <v>52</v>
      </c>
      <c r="D25" s="2">
        <v>2.5</v>
      </c>
      <c r="E25" s="75">
        <f t="shared" ref="E25:E30" si="5">D25/$D$5</f>
        <v>5.0000000000000001E-3</v>
      </c>
      <c r="F25" s="78">
        <f t="shared" si="1"/>
        <v>3</v>
      </c>
      <c r="G25" s="3">
        <v>3</v>
      </c>
      <c r="H25" s="3">
        <v>1</v>
      </c>
      <c r="I25" s="37">
        <v>1</v>
      </c>
      <c r="J25" s="85">
        <f t="shared" ref="J25:J30" si="6">IF(SUM(G25,H25,I25)=0, "NA",SUM($F$8*F25,$G$8*G25,$H$8*H25,$I$8*I25))</f>
        <v>2.4</v>
      </c>
      <c r="K25" s="31"/>
      <c r="L25" s="14">
        <v>1</v>
      </c>
      <c r="M25" s="3">
        <v>2</v>
      </c>
      <c r="N25" s="3">
        <v>2</v>
      </c>
      <c r="O25" s="3">
        <v>2</v>
      </c>
      <c r="P25" s="88">
        <f t="shared" si="2"/>
        <v>1.75</v>
      </c>
      <c r="Q25" s="63"/>
      <c r="R25" s="92" t="str">
        <f t="shared" si="3"/>
        <v>Não Crítico</v>
      </c>
    </row>
    <row r="26" spans="1:18" x14ac:dyDescent="0.2">
      <c r="A26" s="24" t="s">
        <v>48</v>
      </c>
      <c r="B26" s="20" t="s">
        <v>15</v>
      </c>
      <c r="C26" s="1" t="s">
        <v>15</v>
      </c>
      <c r="D26" s="2">
        <v>1.5</v>
      </c>
      <c r="E26" s="75">
        <f t="shared" si="5"/>
        <v>3.0000000000000001E-3</v>
      </c>
      <c r="F26" s="78">
        <f t="shared" si="1"/>
        <v>2</v>
      </c>
      <c r="G26" s="3">
        <v>1</v>
      </c>
      <c r="H26" s="3">
        <v>2</v>
      </c>
      <c r="I26" s="37">
        <v>1</v>
      </c>
      <c r="J26" s="85">
        <f t="shared" si="6"/>
        <v>1.55</v>
      </c>
      <c r="K26" s="31"/>
      <c r="L26" s="14">
        <v>1</v>
      </c>
      <c r="M26" s="3">
        <v>1</v>
      </c>
      <c r="N26" s="3">
        <v>2</v>
      </c>
      <c r="O26" s="3">
        <v>1</v>
      </c>
      <c r="P26" s="88">
        <f t="shared" si="2"/>
        <v>1.25</v>
      </c>
      <c r="Q26" s="63"/>
      <c r="R26" s="92" t="str">
        <f t="shared" si="3"/>
        <v>Não Crítico</v>
      </c>
    </row>
    <row r="27" spans="1:18" x14ac:dyDescent="0.2">
      <c r="A27" s="24" t="s">
        <v>48</v>
      </c>
      <c r="B27" s="20" t="s">
        <v>13</v>
      </c>
      <c r="C27" s="1" t="s">
        <v>53</v>
      </c>
      <c r="D27" s="2">
        <v>1.2</v>
      </c>
      <c r="E27" s="75">
        <f t="shared" si="5"/>
        <v>2.3999999999999998E-3</v>
      </c>
      <c r="F27" s="78">
        <f t="shared" si="1"/>
        <v>2</v>
      </c>
      <c r="G27" s="3">
        <v>1</v>
      </c>
      <c r="H27" s="3">
        <v>2</v>
      </c>
      <c r="I27" s="37">
        <v>1</v>
      </c>
      <c r="J27" s="85">
        <f t="shared" si="6"/>
        <v>1.55</v>
      </c>
      <c r="K27" s="31"/>
      <c r="L27" s="14">
        <v>1</v>
      </c>
      <c r="M27" s="3">
        <v>1</v>
      </c>
      <c r="N27" s="3">
        <v>2</v>
      </c>
      <c r="O27" s="3">
        <v>1</v>
      </c>
      <c r="P27" s="88">
        <f t="shared" si="2"/>
        <v>1.25</v>
      </c>
      <c r="Q27" s="63"/>
      <c r="R27" s="92" t="str">
        <f t="shared" si="3"/>
        <v>Não Crítico</v>
      </c>
    </row>
    <row r="28" spans="1:18" x14ac:dyDescent="0.2">
      <c r="A28" s="24" t="s">
        <v>46</v>
      </c>
      <c r="B28" s="20" t="s">
        <v>17</v>
      </c>
      <c r="C28" s="1" t="s">
        <v>54</v>
      </c>
      <c r="D28" s="2">
        <v>0.8</v>
      </c>
      <c r="E28" s="75">
        <f t="shared" si="5"/>
        <v>1.6000000000000001E-3</v>
      </c>
      <c r="F28" s="78">
        <f t="shared" ref="F28:F30" si="7">IF(AND(E28&lt;0.5%,E28&gt;=0.15%),2,IF(AND(E28&lt;0.5%),1,IF(E28&gt;=1%,4,3)))</f>
        <v>2</v>
      </c>
      <c r="G28" s="3">
        <v>2</v>
      </c>
      <c r="H28" s="3">
        <v>1</v>
      </c>
      <c r="I28" s="37">
        <v>1</v>
      </c>
      <c r="J28" s="85">
        <f t="shared" si="6"/>
        <v>1.6999999999999997</v>
      </c>
      <c r="K28" s="31"/>
      <c r="L28" s="14">
        <v>1</v>
      </c>
      <c r="M28" s="3">
        <v>1</v>
      </c>
      <c r="N28" s="3">
        <v>2</v>
      </c>
      <c r="O28" s="3">
        <v>2</v>
      </c>
      <c r="P28" s="88">
        <f t="shared" ref="P28:P30" si="8">IF(SUM(L28,M28,N28,O28)=0, "NA",SUM(L28*$L$8,$M$8*M28,$N$8*N28,$O$8*O28))</f>
        <v>1.5</v>
      </c>
      <c r="Q28" s="63"/>
      <c r="R28" s="92" t="str">
        <f t="shared" ref="R28:R30" si="9">IF(OR(J28="NA",P28="NA"),"NA",IF(AND(J28&lt;2.5,P28&lt;2.5),"Não Crítico",IF(AND(J28&lt;=2.5,P28&gt;=2.5),"Gargalo",IF(AND(J28&gt;=2.5,P28&gt;=2.5),"Estratégico","Alavancável"))))</f>
        <v>Não Crítico</v>
      </c>
    </row>
    <row r="29" spans="1:18" x14ac:dyDescent="0.2">
      <c r="A29" s="24" t="s">
        <v>48</v>
      </c>
      <c r="B29" s="20" t="s">
        <v>16</v>
      </c>
      <c r="C29" s="1" t="s">
        <v>55</v>
      </c>
      <c r="D29" s="2">
        <v>0.75</v>
      </c>
      <c r="E29" s="75">
        <f t="shared" si="5"/>
        <v>1.5E-3</v>
      </c>
      <c r="F29" s="78">
        <f t="shared" si="7"/>
        <v>2</v>
      </c>
      <c r="G29" s="3">
        <v>3</v>
      </c>
      <c r="H29" s="3">
        <v>3</v>
      </c>
      <c r="I29" s="37">
        <v>1</v>
      </c>
      <c r="J29" s="85">
        <f t="shared" si="6"/>
        <v>2.2999999999999998</v>
      </c>
      <c r="K29" s="31"/>
      <c r="L29" s="14">
        <v>3</v>
      </c>
      <c r="M29" s="3">
        <v>3</v>
      </c>
      <c r="N29" s="3">
        <v>3</v>
      </c>
      <c r="O29" s="3">
        <v>3</v>
      </c>
      <c r="P29" s="88">
        <f t="shared" si="8"/>
        <v>3</v>
      </c>
      <c r="Q29" s="63"/>
      <c r="R29" s="92" t="str">
        <f t="shared" si="9"/>
        <v>Gargalo</v>
      </c>
    </row>
    <row r="30" spans="1:18" x14ac:dyDescent="0.2">
      <c r="A30" s="24" t="s">
        <v>47</v>
      </c>
      <c r="B30" s="20" t="s">
        <v>18</v>
      </c>
      <c r="C30" s="1" t="s">
        <v>56</v>
      </c>
      <c r="D30" s="2">
        <v>0.7</v>
      </c>
      <c r="E30" s="75">
        <f t="shared" si="5"/>
        <v>1.4E-3</v>
      </c>
      <c r="F30" s="78">
        <f t="shared" si="7"/>
        <v>1</v>
      </c>
      <c r="G30" s="3">
        <v>3</v>
      </c>
      <c r="H30" s="3">
        <v>2</v>
      </c>
      <c r="I30" s="37">
        <v>1</v>
      </c>
      <c r="J30" s="85">
        <f t="shared" si="6"/>
        <v>1.7499999999999998</v>
      </c>
      <c r="K30" s="31"/>
      <c r="L30" s="14">
        <v>1</v>
      </c>
      <c r="M30" s="3">
        <v>1</v>
      </c>
      <c r="N30" s="3">
        <v>1</v>
      </c>
      <c r="O30" s="3">
        <v>1</v>
      </c>
      <c r="P30" s="88">
        <f t="shared" si="8"/>
        <v>1</v>
      </c>
      <c r="Q30" s="63"/>
      <c r="R30" s="92" t="str">
        <f t="shared" si="9"/>
        <v>Não Crítico</v>
      </c>
    </row>
    <row r="31" spans="1:18" ht="15.75" thickBot="1" x14ac:dyDescent="0.25">
      <c r="A31" s="25" t="s">
        <v>46</v>
      </c>
      <c r="B31" s="21" t="s">
        <v>11</v>
      </c>
      <c r="C31" s="49" t="s">
        <v>57</v>
      </c>
      <c r="D31" s="22">
        <v>0.55003585999999993</v>
      </c>
      <c r="E31" s="76">
        <f t="shared" ref="E31" si="10">D31/$D$5</f>
        <v>1.1000717199999999E-3</v>
      </c>
      <c r="F31" s="79">
        <f t="shared" ref="F31" si="11">IF(AND(E31&lt;0.5%,E31&gt;=0.15%),2,IF(AND(E31&lt;0.5%),1,IF(E31&gt;=1%,4,3)))</f>
        <v>1</v>
      </c>
      <c r="G31" s="16">
        <v>2</v>
      </c>
      <c r="H31" s="16">
        <v>1</v>
      </c>
      <c r="I31" s="38">
        <v>1</v>
      </c>
      <c r="J31" s="86">
        <f t="shared" ref="J31" si="12">IF(SUM(G31,H31,I31)=0, "NA",SUM($F$8*F31,$G$8*G31,$H$8*H31,$I$8*I31))</f>
        <v>1.2999999999999998</v>
      </c>
      <c r="K31" s="31"/>
      <c r="L31" s="15">
        <v>1</v>
      </c>
      <c r="M31" s="16">
        <v>1</v>
      </c>
      <c r="N31" s="16">
        <v>2</v>
      </c>
      <c r="O31" s="16">
        <v>2</v>
      </c>
      <c r="P31" s="89">
        <f t="shared" ref="P31" si="13">IF(SUM(L31,M31,N31,O31)=0, "NA",SUM(L31*$L$8,$M$8*M31,$N$8*N31,$O$8*O31))</f>
        <v>1.5</v>
      </c>
      <c r="Q31" s="64"/>
      <c r="R31" s="93" t="str">
        <f t="shared" ref="R31" si="14">IF(OR(J31="NA",P31="NA"),"NA",IF(AND(J31&lt;2.5,P31&lt;2.5),"Não Crítico",IF(AND(J31&lt;=2.5,P31&gt;=2.5),"Gargalo",IF(AND(J31&gt;=2.5,P31&gt;=2.5),"Estratégico","Alavancável"))))</f>
        <v>Não Crítico</v>
      </c>
    </row>
  </sheetData>
  <mergeCells count="11">
    <mergeCell ref="F2:R3"/>
    <mergeCell ref="A6:A8"/>
    <mergeCell ref="P6:P7"/>
    <mergeCell ref="R6:R8"/>
    <mergeCell ref="E6:E7"/>
    <mergeCell ref="D6:D7"/>
    <mergeCell ref="F6:I6"/>
    <mergeCell ref="J6:J7"/>
    <mergeCell ref="L6:O6"/>
    <mergeCell ref="B6:B8"/>
    <mergeCell ref="C6:C7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6C6F6-4070-4602-B4ED-4AA7B2DD6645}">
  <sheetPr codeName="Planilha3"/>
  <dimension ref="A1:H26"/>
  <sheetViews>
    <sheetView showGridLines="0" workbookViewId="0">
      <selection activeCell="H16" sqref="H16"/>
    </sheetView>
  </sheetViews>
  <sheetFormatPr defaultColWidth="0" defaultRowHeight="15" x14ac:dyDescent="0.2"/>
  <cols>
    <col min="1" max="1" width="18.83203125" customWidth="1"/>
    <col min="2" max="2" width="25.828125" bestFit="1" customWidth="1"/>
    <col min="3" max="3" width="34.4375" customWidth="1"/>
    <col min="4" max="4" width="22.328125" customWidth="1"/>
    <col min="5" max="5" width="19.234375" customWidth="1"/>
    <col min="6" max="6" width="20.71484375" customWidth="1"/>
    <col min="7" max="7" width="22.05859375" customWidth="1"/>
    <col min="8" max="8" width="9.14453125" customWidth="1"/>
    <col min="9" max="16384" width="9.14453125" hidden="1"/>
  </cols>
  <sheetData>
    <row r="1" spans="1:7" ht="15" customHeight="1" x14ac:dyDescent="0.2">
      <c r="A1" s="135" t="s">
        <v>0</v>
      </c>
      <c r="B1" s="130" t="s">
        <v>28</v>
      </c>
      <c r="C1" s="130" t="s">
        <v>36</v>
      </c>
      <c r="D1" s="130" t="s">
        <v>35</v>
      </c>
      <c r="E1" s="130" t="s">
        <v>33</v>
      </c>
      <c r="F1" s="130" t="s">
        <v>34</v>
      </c>
      <c r="G1" s="132" t="s">
        <v>38</v>
      </c>
    </row>
    <row r="2" spans="1:7" x14ac:dyDescent="0.2">
      <c r="A2" s="136"/>
      <c r="B2" s="138"/>
      <c r="C2" s="138"/>
      <c r="D2" s="138"/>
      <c r="E2" s="138"/>
      <c r="F2" s="138"/>
      <c r="G2" s="133"/>
    </row>
    <row r="3" spans="1:7" ht="15.75" thickBot="1" x14ac:dyDescent="0.25">
      <c r="A3" s="137"/>
      <c r="B3" s="139"/>
      <c r="C3" s="139"/>
      <c r="D3" s="139"/>
      <c r="E3" s="139"/>
      <c r="F3" s="139"/>
      <c r="G3" s="134"/>
    </row>
    <row r="4" spans="1:7" x14ac:dyDescent="0.2">
      <c r="A4" s="26" t="str">
        <f>DADOS!A9</f>
        <v>(D) Matéria-Prima</v>
      </c>
      <c r="B4" s="61" t="str">
        <f>DADOS!B9</f>
        <v>Matéria-Prima 1</v>
      </c>
      <c r="C4" s="8" t="str">
        <f>DADOS!C9</f>
        <v>Matéria-Prima 1</v>
      </c>
      <c r="D4" s="17">
        <f>DADOS!D9</f>
        <v>59.99798019</v>
      </c>
      <c r="E4" s="66">
        <f>DADOS!P9</f>
        <v>3.75</v>
      </c>
      <c r="F4" s="66">
        <f>DADOS!J9</f>
        <v>3.55</v>
      </c>
      <c r="G4" s="67" t="str">
        <f>DADOS!R9</f>
        <v>Estratégico</v>
      </c>
    </row>
    <row r="5" spans="1:7" x14ac:dyDescent="0.2">
      <c r="A5" s="24" t="str">
        <f>DADOS!A10</f>
        <v>(D) Embalagens</v>
      </c>
      <c r="B5" s="20" t="str">
        <f>DADOS!B10</f>
        <v>Embalagens 1</v>
      </c>
      <c r="C5" s="1" t="str">
        <f>DADOS!C10</f>
        <v>Embalagens 1</v>
      </c>
      <c r="D5" s="9">
        <f>DADOS!D10</f>
        <v>40</v>
      </c>
      <c r="E5" s="6">
        <f>DADOS!P10</f>
        <v>3.5</v>
      </c>
      <c r="F5" s="6">
        <f>DADOS!J10</f>
        <v>4</v>
      </c>
      <c r="G5" s="68" t="str">
        <f>DADOS!R10</f>
        <v>Estratégico</v>
      </c>
    </row>
    <row r="6" spans="1:7" x14ac:dyDescent="0.2">
      <c r="A6" s="24" t="str">
        <f>DADOS!A11</f>
        <v>(D) Matéria-Prima</v>
      </c>
      <c r="B6" s="20" t="str">
        <f>DADOS!B11</f>
        <v>Matéria-Prima 2</v>
      </c>
      <c r="C6" s="1" t="str">
        <f>DADOS!C11</f>
        <v>Matéria-Prima 2</v>
      </c>
      <c r="D6" s="9">
        <f>DADOS!D11</f>
        <v>31</v>
      </c>
      <c r="E6" s="6">
        <f>DADOS!P11</f>
        <v>3.75</v>
      </c>
      <c r="F6" s="6">
        <f>DADOS!J11</f>
        <v>3.55</v>
      </c>
      <c r="G6" s="68" t="str">
        <f>DADOS!R11</f>
        <v>Estratégico</v>
      </c>
    </row>
    <row r="7" spans="1:7" x14ac:dyDescent="0.2">
      <c r="A7" s="24" t="str">
        <f>DADOS!A12</f>
        <v>(I) Logística</v>
      </c>
      <c r="B7" s="20" t="str">
        <f>DADOS!B12</f>
        <v>Transporte</v>
      </c>
      <c r="C7" s="1" t="str">
        <f>DADOS!C12</f>
        <v>Frete Inbound</v>
      </c>
      <c r="D7" s="9">
        <f>DADOS!D12</f>
        <v>27.023904289999997</v>
      </c>
      <c r="E7" s="6">
        <f>DADOS!P12</f>
        <v>1.5</v>
      </c>
      <c r="F7" s="6">
        <f>DADOS!J12</f>
        <v>3.0999999999999996</v>
      </c>
      <c r="G7" s="68" t="str">
        <f>DADOS!R12</f>
        <v>Alavancável</v>
      </c>
    </row>
    <row r="8" spans="1:7" x14ac:dyDescent="0.2">
      <c r="A8" s="24" t="str">
        <f>DADOS!A13</f>
        <v>(D) Matéria-Prima</v>
      </c>
      <c r="B8" s="20" t="str">
        <f>DADOS!B13</f>
        <v>Matéria-Prima 3</v>
      </c>
      <c r="C8" s="1" t="str">
        <f>DADOS!C13</f>
        <v>Matéria-Prima 3</v>
      </c>
      <c r="D8" s="9">
        <f>DADOS!D13</f>
        <v>27.4</v>
      </c>
      <c r="E8" s="6">
        <f>DADOS!P13</f>
        <v>3.5</v>
      </c>
      <c r="F8" s="6">
        <f>DADOS!J13</f>
        <v>3.6999999999999997</v>
      </c>
      <c r="G8" s="68" t="str">
        <f>DADOS!R13</f>
        <v>Estratégico</v>
      </c>
    </row>
    <row r="9" spans="1:7" x14ac:dyDescent="0.2">
      <c r="A9" s="24" t="str">
        <f>DADOS!A14</f>
        <v>(I) Logística</v>
      </c>
      <c r="B9" s="20" t="str">
        <f>DADOS!B14</f>
        <v>Armazenagem</v>
      </c>
      <c r="C9" s="1" t="str">
        <f>DADOS!C14</f>
        <v>Armazem/Galpões</v>
      </c>
      <c r="D9" s="9">
        <f>DADOS!D14</f>
        <v>10</v>
      </c>
      <c r="E9" s="6">
        <f>DADOS!P14</f>
        <v>2.5</v>
      </c>
      <c r="F9" s="6">
        <f>DADOS!J14</f>
        <v>2.5</v>
      </c>
      <c r="G9" s="68" t="str">
        <f>DADOS!R14</f>
        <v>Gargalo</v>
      </c>
    </row>
    <row r="10" spans="1:7" x14ac:dyDescent="0.2">
      <c r="A10" s="24" t="str">
        <f>DADOS!A15</f>
        <v>(I) Máquinas</v>
      </c>
      <c r="B10" s="20" t="str">
        <f>DADOS!B15</f>
        <v>Componentes</v>
      </c>
      <c r="C10" s="1" t="str">
        <f>DADOS!C15</f>
        <v>Componentes</v>
      </c>
      <c r="D10" s="9">
        <f>DADOS!D15</f>
        <v>10.5</v>
      </c>
      <c r="E10" s="6">
        <f>DADOS!P15</f>
        <v>4</v>
      </c>
      <c r="F10" s="6">
        <f>DADOS!J15</f>
        <v>3.4</v>
      </c>
      <c r="G10" s="68" t="str">
        <f>DADOS!R15</f>
        <v>Estratégico</v>
      </c>
    </row>
    <row r="11" spans="1:7" x14ac:dyDescent="0.2">
      <c r="A11" s="24" t="str">
        <f>DADOS!A16</f>
        <v>(I) Marketing</v>
      </c>
      <c r="B11" s="20" t="str">
        <f>DADOS!B16</f>
        <v>Publicidade &amp; Propaganda</v>
      </c>
      <c r="C11" s="1" t="str">
        <f>DADOS!C16</f>
        <v>Agências Marketing</v>
      </c>
      <c r="D11" s="9">
        <f>DADOS!D16</f>
        <v>9</v>
      </c>
      <c r="E11" s="6">
        <f>DADOS!P16</f>
        <v>2.25</v>
      </c>
      <c r="F11" s="6">
        <f>DADOS!J16</f>
        <v>2.95</v>
      </c>
      <c r="G11" s="68" t="str">
        <f>DADOS!R16</f>
        <v>Alavancável</v>
      </c>
    </row>
    <row r="12" spans="1:7" x14ac:dyDescent="0.2">
      <c r="A12" s="24" t="str">
        <f>DADOS!A17</f>
        <v>(I) Máquinas</v>
      </c>
      <c r="B12" s="20" t="str">
        <f>DADOS!B17</f>
        <v>Máquinas e Equipamentos</v>
      </c>
      <c r="C12" s="1" t="str">
        <f>DADOS!C17</f>
        <v>Máquinas e Equipamentos</v>
      </c>
      <c r="D12" s="9">
        <f>DADOS!D17</f>
        <v>7.7</v>
      </c>
      <c r="E12" s="6">
        <f>DADOS!P17</f>
        <v>3.75</v>
      </c>
      <c r="F12" s="6">
        <f>DADOS!J17</f>
        <v>3.55</v>
      </c>
      <c r="G12" s="68" t="str">
        <f>DADOS!R17</f>
        <v>Estratégico</v>
      </c>
    </row>
    <row r="13" spans="1:7" x14ac:dyDescent="0.2">
      <c r="A13" s="24" t="str">
        <f>DADOS!A18</f>
        <v>(I) Energia Elétrica</v>
      </c>
      <c r="B13" s="20" t="str">
        <f>DADOS!B18</f>
        <v>Energia Elétrica</v>
      </c>
      <c r="C13" s="1" t="str">
        <f>DADOS!C18</f>
        <v>Energia Elétrica</v>
      </c>
      <c r="D13" s="9">
        <f>DADOS!D18</f>
        <v>7.5</v>
      </c>
      <c r="E13" s="6">
        <f>DADOS!P18</f>
        <v>3</v>
      </c>
      <c r="F13" s="6">
        <f>DADOS!J18</f>
        <v>3.0999999999999996</v>
      </c>
      <c r="G13" s="68" t="str">
        <f>DADOS!R18</f>
        <v>Estratégico</v>
      </c>
    </row>
    <row r="14" spans="1:7" x14ac:dyDescent="0.2">
      <c r="A14" s="24" t="str">
        <f>DADOS!A19</f>
        <v>(I) Consumíveis</v>
      </c>
      <c r="B14" s="20" t="str">
        <f>DADOS!B19</f>
        <v>Gases Especiais</v>
      </c>
      <c r="C14" s="1" t="str">
        <f>DADOS!C19</f>
        <v>Gás Natural</v>
      </c>
      <c r="D14" s="9">
        <f>DADOS!D19</f>
        <v>5</v>
      </c>
      <c r="E14" s="6">
        <f>DADOS!P19</f>
        <v>3</v>
      </c>
      <c r="F14" s="6">
        <f>DADOS!J19</f>
        <v>3.0999999999999996</v>
      </c>
      <c r="G14" s="68" t="str">
        <f>DADOS!R19</f>
        <v>Estratégico</v>
      </c>
    </row>
    <row r="15" spans="1:7" x14ac:dyDescent="0.2">
      <c r="A15" s="24" t="str">
        <f>DADOS!A20</f>
        <v>(I) Facilities</v>
      </c>
      <c r="B15" s="20" t="str">
        <f>DADOS!B20</f>
        <v>Gestão Resíduos</v>
      </c>
      <c r="C15" s="1" t="str">
        <f>DADOS!C20</f>
        <v>Gestão Resíduos</v>
      </c>
      <c r="D15" s="9">
        <f>DADOS!D20</f>
        <v>4</v>
      </c>
      <c r="E15" s="6">
        <f>DADOS!P20</f>
        <v>1.5</v>
      </c>
      <c r="F15" s="6">
        <f>DADOS!J20</f>
        <v>2.85</v>
      </c>
      <c r="G15" s="68" t="str">
        <f>DADOS!R20</f>
        <v>Alavancável</v>
      </c>
    </row>
    <row r="16" spans="1:7" x14ac:dyDescent="0.2">
      <c r="A16" s="24" t="str">
        <f>DADOS!A21</f>
        <v>(D) Embalagens</v>
      </c>
      <c r="B16" s="20" t="str">
        <f>DADOS!B21</f>
        <v>Pallets</v>
      </c>
      <c r="C16" s="1" t="str">
        <f>DADOS!C21</f>
        <v>Pallets</v>
      </c>
      <c r="D16" s="9">
        <f>DADOS!D21</f>
        <v>4.5</v>
      </c>
      <c r="E16" s="6">
        <f>DADOS!P21</f>
        <v>1.75</v>
      </c>
      <c r="F16" s="6">
        <f>DADOS!J21</f>
        <v>2.85</v>
      </c>
      <c r="G16" s="68" t="str">
        <f>DADOS!R21</f>
        <v>Alavancável</v>
      </c>
    </row>
    <row r="17" spans="1:7" x14ac:dyDescent="0.2">
      <c r="A17" s="24" t="str">
        <f>DADOS!A22</f>
        <v>(I) Serviços</v>
      </c>
      <c r="B17" s="20" t="str">
        <f>DADOS!B22</f>
        <v>Manutenção</v>
      </c>
      <c r="C17" s="1" t="str">
        <f>DADOS!C22</f>
        <v>Manutenção</v>
      </c>
      <c r="D17" s="9">
        <f>DADOS!D22</f>
        <v>3.5</v>
      </c>
      <c r="E17" s="6">
        <f>DADOS!P22</f>
        <v>1.75</v>
      </c>
      <c r="F17" s="6">
        <f>DADOS!J22</f>
        <v>3.0000000000000004</v>
      </c>
      <c r="G17" s="68" t="str">
        <f>DADOS!R22</f>
        <v>Alavancável</v>
      </c>
    </row>
    <row r="18" spans="1:7" x14ac:dyDescent="0.2">
      <c r="A18" s="24" t="str">
        <f>DADOS!A23</f>
        <v>(I) TI</v>
      </c>
      <c r="B18" s="20" t="str">
        <f>DADOS!B23</f>
        <v>Serviços</v>
      </c>
      <c r="C18" s="1" t="str">
        <f>DADOS!C23</f>
        <v>Serviços Consultoria TI</v>
      </c>
      <c r="D18" s="9">
        <f>DADOS!D23</f>
        <v>3</v>
      </c>
      <c r="E18" s="6">
        <f>DADOS!P23</f>
        <v>1.75</v>
      </c>
      <c r="F18" s="6">
        <f>DADOS!J23</f>
        <v>2.1</v>
      </c>
      <c r="G18" s="68" t="str">
        <f>DADOS!R23</f>
        <v>Não Crítico</v>
      </c>
    </row>
    <row r="19" spans="1:7" x14ac:dyDescent="0.2">
      <c r="A19" s="24" t="str">
        <f>DADOS!A24</f>
        <v>(I) Recursos Humanos</v>
      </c>
      <c r="B19" s="20" t="str">
        <f>DADOS!B24</f>
        <v>Benefícios</v>
      </c>
      <c r="C19" s="1" t="str">
        <f>DADOS!C24</f>
        <v>Benefícios Planos de Saúde</v>
      </c>
      <c r="D19" s="9">
        <f>DADOS!D24</f>
        <v>2.5</v>
      </c>
      <c r="E19" s="6">
        <f>DADOS!P24</f>
        <v>2.75</v>
      </c>
      <c r="F19" s="6">
        <f>DADOS!J24</f>
        <v>2.4</v>
      </c>
      <c r="G19" s="68" t="str">
        <f>DADOS!R24</f>
        <v>Gargalo</v>
      </c>
    </row>
    <row r="20" spans="1:7" x14ac:dyDescent="0.2">
      <c r="A20" s="24" t="str">
        <f>DADOS!A25</f>
        <v>(I) Recursos Humanos</v>
      </c>
      <c r="B20" s="20" t="str">
        <f>DADOS!B25</f>
        <v>Benefícios</v>
      </c>
      <c r="C20" s="1" t="str">
        <f>DADOS!C25</f>
        <v>Benefícios Refeições</v>
      </c>
      <c r="D20" s="9">
        <f>DADOS!D25</f>
        <v>2.5</v>
      </c>
      <c r="E20" s="6">
        <f>DADOS!P25</f>
        <v>1.75</v>
      </c>
      <c r="F20" s="6">
        <f>DADOS!J25</f>
        <v>2.4</v>
      </c>
      <c r="G20" s="68" t="str">
        <f>DADOS!R25</f>
        <v>Não Crítico</v>
      </c>
    </row>
    <row r="21" spans="1:7" x14ac:dyDescent="0.2">
      <c r="A21" s="24" t="str">
        <f>DADOS!A26</f>
        <v>(I) Serviços</v>
      </c>
      <c r="B21" s="20" t="str">
        <f>DADOS!B26</f>
        <v>Serviços Jurídicos</v>
      </c>
      <c r="C21" s="1" t="str">
        <f>DADOS!C26</f>
        <v>Serviços Jurídicos</v>
      </c>
      <c r="D21" s="9">
        <f>DADOS!D26</f>
        <v>1.5</v>
      </c>
      <c r="E21" s="6">
        <f>DADOS!P26</f>
        <v>1.25</v>
      </c>
      <c r="F21" s="6">
        <f>DADOS!J26</f>
        <v>1.55</v>
      </c>
      <c r="G21" s="68" t="str">
        <f>DADOS!R26</f>
        <v>Não Crítico</v>
      </c>
    </row>
    <row r="22" spans="1:7" x14ac:dyDescent="0.2">
      <c r="A22" s="24" t="str">
        <f>DADOS!A27</f>
        <v>(I) Serviços</v>
      </c>
      <c r="B22" s="20" t="str">
        <f>DADOS!B27</f>
        <v>Consultoria</v>
      </c>
      <c r="C22" s="1" t="str">
        <f>DADOS!C27</f>
        <v>Consultoria Gestão Empresarial</v>
      </c>
      <c r="D22" s="9">
        <v>1</v>
      </c>
      <c r="E22" s="6">
        <f>DADOS!P27</f>
        <v>1.25</v>
      </c>
      <c r="F22" s="6">
        <f>DADOS!J27</f>
        <v>1.55</v>
      </c>
      <c r="G22" s="68" t="str">
        <f>DADOS!R27</f>
        <v>Não Crítico</v>
      </c>
    </row>
    <row r="23" spans="1:7" x14ac:dyDescent="0.2">
      <c r="A23" s="24" t="str">
        <f>DADOS!A28</f>
        <v>(I) Facilities</v>
      </c>
      <c r="B23" s="20" t="str">
        <f>DADOS!B28</f>
        <v>Frota</v>
      </c>
      <c r="C23" s="1" t="str">
        <f>DADOS!C28</f>
        <v>Frota Locação de Veículos</v>
      </c>
      <c r="D23" s="9">
        <f>DADOS!D28</f>
        <v>0.8</v>
      </c>
      <c r="E23" s="6">
        <f>DADOS!P28</f>
        <v>1.5</v>
      </c>
      <c r="F23" s="6">
        <f>DADOS!J28</f>
        <v>1.6999999999999997</v>
      </c>
      <c r="G23" s="68" t="str">
        <f>DADOS!R28</f>
        <v>Não Crítico</v>
      </c>
    </row>
    <row r="24" spans="1:7" x14ac:dyDescent="0.2">
      <c r="A24" s="24" t="str">
        <f>DADOS!A29</f>
        <v>(I) Serviços</v>
      </c>
      <c r="B24" s="20" t="str">
        <f>DADOS!B29</f>
        <v>Especializados</v>
      </c>
      <c r="C24" s="1" t="str">
        <f>DADOS!C29</f>
        <v>Especializados Assistencia Técnica</v>
      </c>
      <c r="D24" s="9">
        <f>DADOS!D29</f>
        <v>0.75</v>
      </c>
      <c r="E24" s="6">
        <f>DADOS!P29</f>
        <v>3</v>
      </c>
      <c r="F24" s="6">
        <f>DADOS!J29</f>
        <v>2.2999999999999998</v>
      </c>
      <c r="G24" s="68" t="str">
        <f>DADOS!R29</f>
        <v>Gargalo</v>
      </c>
    </row>
    <row r="25" spans="1:7" x14ac:dyDescent="0.2">
      <c r="A25" s="24" t="str">
        <f>DADOS!A30</f>
        <v>(I) TI</v>
      </c>
      <c r="B25" s="20" t="str">
        <f>DADOS!B30</f>
        <v>Equipamentos e Periféricos</v>
      </c>
      <c r="C25" s="1" t="str">
        <f>DADOS!C30</f>
        <v>Equipamentos e Periféricos Outros</v>
      </c>
      <c r="D25" s="9">
        <f>DADOS!D30</f>
        <v>0.7</v>
      </c>
      <c r="E25" s="6">
        <f>DADOS!P30</f>
        <v>1</v>
      </c>
      <c r="F25" s="6">
        <f>DADOS!J30</f>
        <v>1.7499999999999998</v>
      </c>
      <c r="G25" s="68" t="str">
        <f>DADOS!R30</f>
        <v>Não Crítico</v>
      </c>
    </row>
    <row r="26" spans="1:7" ht="15.75" thickBot="1" x14ac:dyDescent="0.25">
      <c r="A26" s="25" t="str">
        <f>DADOS!A31</f>
        <v>(I) Facilities</v>
      </c>
      <c r="B26" s="21" t="str">
        <f>DADOS!B31</f>
        <v>Serviços</v>
      </c>
      <c r="C26" s="49" t="str">
        <f>DADOS!C31</f>
        <v>Serviços Vigilancia &amp; Segurança</v>
      </c>
      <c r="D26" s="23">
        <f>DADOS!D31</f>
        <v>0.55003585999999993</v>
      </c>
      <c r="E26" s="69">
        <f>DADOS!P31</f>
        <v>1.5</v>
      </c>
      <c r="F26" s="69">
        <f>DADOS!J31</f>
        <v>1.2999999999999998</v>
      </c>
      <c r="G26" s="70" t="str">
        <f>DADOS!R31</f>
        <v>Não Crítico</v>
      </c>
    </row>
  </sheetData>
  <autoFilter ref="A1:G26" xr:uid="{1F56C6F6-4070-4602-B4ED-4AA7B2DD6645}"/>
  <mergeCells count="7">
    <mergeCell ref="G1:G3"/>
    <mergeCell ref="A1:A3"/>
    <mergeCell ref="B1:B3"/>
    <mergeCell ref="E1:E3"/>
    <mergeCell ref="F1:F3"/>
    <mergeCell ref="D1:D3"/>
    <mergeCell ref="C1:C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E9A3-7E6D-416B-B7A1-5ED7EDFC9458}">
  <sheetPr codeName="Planilha4"/>
  <dimension ref="A1:AB1"/>
  <sheetViews>
    <sheetView showGridLines="0" topLeftCell="A25" zoomScale="70" zoomScaleNormal="70" workbookViewId="0">
      <selection activeCell="AA32" sqref="AA32"/>
    </sheetView>
  </sheetViews>
  <sheetFormatPr defaultColWidth="0" defaultRowHeight="15" x14ac:dyDescent="0.2"/>
  <cols>
    <col min="1" max="28" width="9.14453125" customWidth="1"/>
    <col min="29" max="16384" width="9.14453125" hidden="1"/>
  </cols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INSTRUÇÕES</vt:lpstr>
      <vt:lpstr>DADOS</vt:lpstr>
      <vt:lpstr>Resumo Dados</vt:lpstr>
      <vt:lpstr>Matriz Kraljic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Marcele Leao</cp:lastModifiedBy>
  <dcterms:created xsi:type="dcterms:W3CDTF">2023-08-25T14:45:50Z</dcterms:created>
  <dcterms:modified xsi:type="dcterms:W3CDTF">2023-09-19T15:33:56Z</dcterms:modified>
</cp:coreProperties>
</file>